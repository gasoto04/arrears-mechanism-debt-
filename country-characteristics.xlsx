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U:\dil\main-characteristics\"/>
    </mc:Choice>
  </mc:AlternateContent>
  <xr:revisionPtr revIDLastSave="0" documentId="13_ncr:1_{0221FB69-4D8F-4D9C-B2C6-979BC5F72121}" xr6:coauthVersionLast="47" xr6:coauthVersionMax="47" xr10:uidLastSave="{00000000-0000-0000-0000-000000000000}"/>
  <bookViews>
    <workbookView xWindow="-110" yWindow="-110" windowWidth="29020" windowHeight="15700" xr2:uid="{1BE7FF07-A2BB-4B29-88B8-6BA5D186E55E}"/>
  </bookViews>
  <sheets>
    <sheet name="main" sheetId="1" r:id="rId1"/>
    <sheet name="case-studies" sheetId="2" r:id="rId2"/>
  </sheets>
  <definedNames>
    <definedName name="_xlnm._FilterDatabase" localSheetId="0" hidden="1">main!$B$1:$BT$70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Vannier Harnoys, Brendan</author>
    <author>Saveikyte, Sandra</author>
    <author>Harnoys Vannier, Brendan</author>
  </authors>
  <commentList>
    <comment ref="U1" authorId="0" shapeId="0" xr:uid="{5B2D1BE0-DBB1-4594-BAC2-0DBD7E90A428}">
      <text>
        <r>
          <rPr>
            <b/>
            <sz val="9"/>
            <color indexed="81"/>
            <rFont val="Tahoma"/>
            <family val="2"/>
          </rPr>
          <t>Vannier Harnoys, Brendan:</t>
        </r>
        <r>
          <rPr>
            <sz val="9"/>
            <color indexed="81"/>
            <rFont val="Tahoma"/>
            <family val="2"/>
          </rPr>
          <t xml:space="preserve">
Considered IMF disbursements from ECF/EFF/SBA/SCF that were associated with program arranged between 2005 and 2024.
For example if a program lead to the disbursement of flows in 2006 but the program was arranged in 2003, said program was not counted</t>
        </r>
      </text>
    </comment>
    <comment ref="W1" authorId="1" shapeId="0" xr:uid="{EFBDA37C-1305-44CF-8BF6-0AC043468CAF}">
      <text>
        <r>
          <rPr>
            <b/>
            <sz val="9"/>
            <color indexed="81"/>
            <rFont val="Tahoma"/>
            <family val="2"/>
          </rPr>
          <t>Saveikyte, Sandra:</t>
        </r>
        <r>
          <rPr>
            <sz val="9"/>
            <color indexed="81"/>
            <rFont val="Tahoma"/>
            <family val="2"/>
          </rPr>
          <t xml:space="preserve">
Had an arrangement for at least 7 consecutive years.</t>
        </r>
      </text>
    </comment>
    <comment ref="AA1" authorId="0" shapeId="0" xr:uid="{507A5920-4C1F-4EA0-B4B4-F97BE82D54FC}">
      <text>
        <r>
          <rPr>
            <b/>
            <sz val="9"/>
            <color indexed="81"/>
            <rFont val="Tahoma"/>
            <family val="2"/>
          </rPr>
          <t>Vannier Harnoys, Brendan:</t>
        </r>
        <r>
          <rPr>
            <sz val="9"/>
            <color indexed="81"/>
            <rFont val="Tahoma"/>
            <family val="2"/>
          </rPr>
          <t xml:space="preserve">
2 is for HIPC countries that have not reached completion point as of Oct. 2024</t>
        </r>
      </text>
    </comment>
    <comment ref="AC1" authorId="0" shapeId="0" xr:uid="{7C44FA9B-6F74-427C-A5C8-15794B906610}">
      <text>
        <r>
          <rPr>
            <b/>
            <sz val="9"/>
            <color indexed="81"/>
            <rFont val="Tahoma"/>
            <family val="2"/>
          </rPr>
          <t>Vannier Harnoys, Brendan:</t>
        </r>
        <r>
          <rPr>
            <sz val="9"/>
            <color indexed="81"/>
            <rFont val="Tahoma"/>
            <family val="2"/>
          </rPr>
          <t xml:space="preserve">
* indicates whether the completion point refers to an enhanced framework instead of the original one</t>
        </r>
      </text>
    </comment>
    <comment ref="AH1" authorId="0" shapeId="0" xr:uid="{A9F4D22C-FB20-4434-85DC-744C4F1515F0}">
      <text>
        <r>
          <rPr>
            <b/>
            <sz val="9"/>
            <color indexed="81"/>
            <rFont val="Tahoma"/>
            <family val="2"/>
          </rPr>
          <t>Vannier Harnoys, Brendan:</t>
        </r>
        <r>
          <rPr>
            <sz val="9"/>
            <color indexed="81"/>
            <rFont val="Tahoma"/>
            <family val="2"/>
          </rPr>
          <t xml:space="preserve">
1 = Lowest Income (no access to blending)
2B = Higher Income Non-presumed Blenders (With Debt Vulnerabilities)
2A = Higher Income Presumed Blenders (No Debt Vulnerabilities)</t>
        </r>
      </text>
    </comment>
    <comment ref="AI1" authorId="1" shapeId="0" xr:uid="{6F497865-035C-4D8A-94C1-971F5C5F5996}">
      <text>
        <r>
          <rPr>
            <b/>
            <sz val="9"/>
            <color indexed="81"/>
            <rFont val="Tahoma"/>
            <family val="2"/>
          </rPr>
          <t>Saveikyte, Sandra:</t>
        </r>
        <r>
          <rPr>
            <sz val="9"/>
            <color indexed="81"/>
            <rFont val="Tahoma"/>
            <family val="2"/>
          </rPr>
          <t xml:space="preserve">
1 - poorest LICs, GNI per capita at or below IDA cutoff 100 percent (USD 1,335 = 100 percent)
2 - GNI per capita between 100 and 150 percent (inclusive) IDA cutoff
3 - GNI per capita between 150 and 300 percent (inclusive) IDA cutoff
4 - GNI per capit above 300 percent IDA cutoff
</t>
        </r>
      </text>
    </comment>
    <comment ref="AV1" authorId="1" shapeId="0" xr:uid="{224B150F-DD5B-4727-9940-9EE6CAD75F2D}">
      <text>
        <r>
          <rPr>
            <b/>
            <sz val="9"/>
            <color indexed="81"/>
            <rFont val="Tahoma"/>
            <family val="2"/>
          </rPr>
          <t>Saveikyte, Sandra:</t>
        </r>
        <r>
          <rPr>
            <sz val="9"/>
            <color indexed="81"/>
            <rFont val="Tahoma"/>
            <family val="2"/>
          </rPr>
          <t xml:space="preserve">
cells colored in green fall below the average, celles colored in red fall above the average </t>
        </r>
      </text>
    </comment>
    <comment ref="AW1" authorId="1" shapeId="0" xr:uid="{79BAD509-F425-489B-A489-0F2F58A60A2E}">
      <text>
        <r>
          <rPr>
            <b/>
            <sz val="9"/>
            <color indexed="81"/>
            <rFont val="Tahoma"/>
            <family val="2"/>
          </rPr>
          <t>Saveikyte, Sandra:</t>
        </r>
        <r>
          <rPr>
            <sz val="9"/>
            <color indexed="81"/>
            <rFont val="Tahoma"/>
            <family val="2"/>
          </rPr>
          <t xml:space="preserve">
Cells in red are greater than 0</t>
        </r>
      </text>
    </comment>
    <comment ref="BC1" authorId="2" shapeId="0" xr:uid="{3F827B22-D145-4EF6-BA6C-B981F1A9F89C}">
      <text>
        <r>
          <rPr>
            <sz val="10"/>
            <color theme="1"/>
            <rFont val="Arial"/>
            <family val="2"/>
          </rPr>
          <t xml:space="preserve">Ha- rnoys Vannier, Brendan:
- "decrease" relates to negative change
- "remained ..." relates to positive changes below 5% (Q1)
- "increase' relates to positive changes below 17.9% (Q2)
- large increase relates to positive changes below 29.1% (Q3)
- "huge increase" relates to changes above 29.1%
</t>
        </r>
      </text>
    </comment>
    <comment ref="AL56" authorId="0" shapeId="0" xr:uid="{42EE6DEF-AE43-41B6-AA1F-E32A04030741}">
      <text>
        <r>
          <rPr>
            <sz val="10"/>
            <color theme="1"/>
            <rFont val="Arial"/>
            <family val="2"/>
          </rPr>
          <t>Vannier Harnoys, Brendan:
Saint Lucia undergoes the SRDSF</t>
        </r>
      </text>
    </comment>
  </commentList>
</comments>
</file>

<file path=xl/sharedStrings.xml><?xml version="1.0" encoding="utf-8"?>
<sst xmlns="http://schemas.openxmlformats.org/spreadsheetml/2006/main" count="1536" uniqueCount="310">
  <si>
    <t>country</t>
  </si>
  <si>
    <t>ifs</t>
  </si>
  <si>
    <t>Afghanistan</t>
  </si>
  <si>
    <t>Bangladesh</t>
  </si>
  <si>
    <t>Benin</t>
  </si>
  <si>
    <t>Bhutan</t>
  </si>
  <si>
    <t>Burkina Faso</t>
  </si>
  <si>
    <t>Burundi</t>
  </si>
  <si>
    <t>Cabo Verde</t>
  </si>
  <si>
    <t>Cambodia</t>
  </si>
  <si>
    <t>Cameroon</t>
  </si>
  <si>
    <t>Central African Republic</t>
  </si>
  <si>
    <t>Chad</t>
  </si>
  <si>
    <t>Comoros</t>
  </si>
  <si>
    <t>Congo, Dem. Rep.</t>
  </si>
  <si>
    <t>Congo, Republic of</t>
  </si>
  <si>
    <t>Côte d'Ivoire</t>
  </si>
  <si>
    <t>Djibouti</t>
  </si>
  <si>
    <t>Dominica</t>
  </si>
  <si>
    <t>Eritrea</t>
  </si>
  <si>
    <t>Ethiopia</t>
  </si>
  <si>
    <t>Gambia, The</t>
  </si>
  <si>
    <t>Ghana</t>
  </si>
  <si>
    <t>Grenada</t>
  </si>
  <si>
    <t>Guinea</t>
  </si>
  <si>
    <t>Guinea-Bissau</t>
  </si>
  <si>
    <t>Haiti</t>
  </si>
  <si>
    <t>Honduras</t>
  </si>
  <si>
    <t>Kenya</t>
  </si>
  <si>
    <t>Kiribati</t>
  </si>
  <si>
    <t>Kyrgyz Republic</t>
  </si>
  <si>
    <t>Lao P.D.R.</t>
  </si>
  <si>
    <t>Lesotho</t>
  </si>
  <si>
    <t>Liberia</t>
  </si>
  <si>
    <t>Madagascar</t>
  </si>
  <si>
    <t>Malawi</t>
  </si>
  <si>
    <t>Maldives</t>
  </si>
  <si>
    <t>Mali</t>
  </si>
  <si>
    <t>Marshall Islands</t>
  </si>
  <si>
    <t>Mauritania</t>
  </si>
  <si>
    <t>Micronesia</t>
  </si>
  <si>
    <t>Moldova</t>
  </si>
  <si>
    <t>Mozambique</t>
  </si>
  <si>
    <t>Myanmar</t>
  </si>
  <si>
    <t>Nepal</t>
  </si>
  <si>
    <t>Nicaragua</t>
  </si>
  <si>
    <t>Niger</t>
  </si>
  <si>
    <t>Papua New Guinea</t>
  </si>
  <si>
    <t>Rwanda</t>
  </si>
  <si>
    <t>Samoa</t>
  </si>
  <si>
    <t>São Tomé and Príncipe</t>
  </si>
  <si>
    <t>Senegal</t>
  </si>
  <si>
    <t>Sierra Leone</t>
  </si>
  <si>
    <t>Solomon Islands</t>
  </si>
  <si>
    <t>Somalia</t>
  </si>
  <si>
    <t>South Sudan</t>
  </si>
  <si>
    <t>St. Lucia</t>
  </si>
  <si>
    <t>St. Vincent and the Grenadines</t>
  </si>
  <si>
    <t>Sudan</t>
  </si>
  <si>
    <t>Tajikistan</t>
  </si>
  <si>
    <t>Tanzania</t>
  </si>
  <si>
    <t>Timor-Leste</t>
  </si>
  <si>
    <t>Togo</t>
  </si>
  <si>
    <t>Tonga</t>
  </si>
  <si>
    <t>Tuvalu</t>
  </si>
  <si>
    <t>Uganda</t>
  </si>
  <si>
    <t>Uzbekistan</t>
  </si>
  <si>
    <t>Vanuatu</t>
  </si>
  <si>
    <t>Yemen</t>
  </si>
  <si>
    <t>Zambia</t>
  </si>
  <si>
    <t>Zimbabwe</t>
  </si>
  <si>
    <t>country-weo</t>
  </si>
  <si>
    <t>country-ids</t>
  </si>
  <si>
    <t>country-dsa</t>
  </si>
  <si>
    <t>country-aiv</t>
  </si>
  <si>
    <t>country-program</t>
  </si>
  <si>
    <t>Has Ongoing Program (PRGT, UCT)</t>
  </si>
  <si>
    <t>Had Multiple Programs (PRGT, UCT)</t>
  </si>
  <si>
    <t>Repeated Programs (7/10) (PRGT, UCT)</t>
  </si>
  <si>
    <t>PRGT Lending Tiers</t>
  </si>
  <si>
    <t xml:space="preserve">LIC Classification by Income </t>
  </si>
  <si>
    <t>DSA Rating in 2005:07</t>
  </si>
  <si>
    <t>DSA Rating post HIPC if completion date after 2005</t>
  </si>
  <si>
    <t>Latest DSA Rating - External Debt Distress</t>
  </si>
  <si>
    <t>Latest DSA Rating - Overall Debt Distress</t>
  </si>
  <si>
    <t>Date of Last DSA</t>
  </si>
  <si>
    <t>Had "In debt distress" rating post HIPC/2005</t>
  </si>
  <si>
    <t>Risk rating evolution</t>
  </si>
  <si>
    <t>2012/13 DCC</t>
  </si>
  <si>
    <t>2012 CPIA</t>
  </si>
  <si>
    <t>Latest DCC</t>
  </si>
  <si>
    <t>2023 CPIA</t>
  </si>
  <si>
    <t>DCC evolution</t>
  </si>
  <si>
    <t>SoE's debt coverage (average used value in LIC-DSF, 2013-2024, default = 2)</t>
  </si>
  <si>
    <t>PPP debt coverage (average used value in LIC-DSF, 2013-2024, default = 35)</t>
  </si>
  <si>
    <t>Share of Domestic Debt (2005)</t>
  </si>
  <si>
    <t>Share of Domestic Debt (2023)</t>
  </si>
  <si>
    <t>Domestic Debt Exposure (2005), Quartile</t>
  </si>
  <si>
    <t>Domestic Debt Exposure (2023), Quartile</t>
  </si>
  <si>
    <t>Change 2005/2023</t>
  </si>
  <si>
    <t>First Creditor on LT External Debt</t>
  </si>
  <si>
    <t>Average Share External Debt to China 2014:23</t>
  </si>
  <si>
    <t>Average Share External Debt to Private 2014:23</t>
  </si>
  <si>
    <t>Average Share External Debt to Bilat (excl CHN) 2014:24</t>
  </si>
  <si>
    <t>Average Share External Debt to WB 2014:25</t>
  </si>
  <si>
    <t>Average Share External Debt to TDB 2014:26</t>
  </si>
  <si>
    <t>Average Share External Debt to other Multi 2014:27</t>
  </si>
  <si>
    <t>Liquidity (INT/X) 2005</t>
  </si>
  <si>
    <t>Liquidity (INT/REV) 2005</t>
  </si>
  <si>
    <t>Liquidity (INT/X) 2024</t>
  </si>
  <si>
    <t>Liquidity (INT/REV) 2024</t>
  </si>
  <si>
    <t>Liquidity Exposure (INT/REV) 2005, Quartile</t>
  </si>
  <si>
    <t>Liquidity Exposure (INT/REV) 2024, Quartile</t>
  </si>
  <si>
    <t>Liquidity Exposure (INT/X) 2005, Quartile</t>
  </si>
  <si>
    <t>Liquidity Exposure (INT/X) 2024, Quartile</t>
  </si>
  <si>
    <t>MCD</t>
  </si>
  <si>
    <t>High</t>
  </si>
  <si>
    <t>06/21</t>
  </si>
  <si>
    <t>0</t>
  </si>
  <si>
    <t>constant - high</t>
  </si>
  <si>
    <t>Weak</t>
  </si>
  <si>
    <t>constant</t>
  </si>
  <si>
    <t>na</t>
  </si>
  <si>
    <t>Bilaterals</t>
  </si>
  <si>
    <t>APD</t>
  </si>
  <si>
    <t>2A</t>
  </si>
  <si>
    <t>Low</t>
  </si>
  <si>
    <t>06/24</t>
  </si>
  <si>
    <t>constant - low</t>
  </si>
  <si>
    <t>Medium</t>
  </si>
  <si>
    <t>increase</t>
  </si>
  <si>
    <t>Multilaterals</t>
  </si>
  <si>
    <t>remained high</t>
  </si>
  <si>
    <t>AFR</t>
  </si>
  <si>
    <t>WEAMU</t>
  </si>
  <si>
    <t>Moderate</t>
  </si>
  <si>
    <t>12/24</t>
  </si>
  <si>
    <t>constant - mod</t>
  </si>
  <si>
    <t>large increase</t>
  </si>
  <si>
    <t>deteriorated</t>
  </si>
  <si>
    <t>09/24</t>
  </si>
  <si>
    <t>Strong</t>
  </si>
  <si>
    <t>remained small</t>
  </si>
  <si>
    <t>remained limited</t>
  </si>
  <si>
    <t>deterioration</t>
  </si>
  <si>
    <t>huge increase</t>
  </si>
  <si>
    <t>slightly deteriorated</t>
  </si>
  <si>
    <t>EAMU</t>
  </si>
  <si>
    <t>06/23</t>
  </si>
  <si>
    <t>12/23</t>
  </si>
  <si>
    <t>deteriorating</t>
  </si>
  <si>
    <t>decrease</t>
  </si>
  <si>
    <t>remained important</t>
  </si>
  <si>
    <t>ameliorating</t>
  </si>
  <si>
    <t>China</t>
  </si>
  <si>
    <t>CEMAC</t>
  </si>
  <si>
    <t>01/24</t>
  </si>
  <si>
    <t>12/22</t>
  </si>
  <si>
    <t>1</t>
  </si>
  <si>
    <t>Private C.</t>
  </si>
  <si>
    <t>2B</t>
  </si>
  <si>
    <t>In debt distress</t>
  </si>
  <si>
    <t>HIgh</t>
  </si>
  <si>
    <t>amelioration</t>
  </si>
  <si>
    <t>ameliorated</t>
  </si>
  <si>
    <t>07/24</t>
  </si>
  <si>
    <t>03/24</t>
  </si>
  <si>
    <t>WHD</t>
  </si>
  <si>
    <t>ECCU</t>
  </si>
  <si>
    <t>05/24</t>
  </si>
  <si>
    <t>--</t>
  </si>
  <si>
    <t>11/24</t>
  </si>
  <si>
    <t>10/24</t>
  </si>
  <si>
    <t>04/24</t>
  </si>
  <si>
    <t>02/24</t>
  </si>
  <si>
    <t>11/23</t>
  </si>
  <si>
    <t>05/23</t>
  </si>
  <si>
    <t>09/23</t>
  </si>
  <si>
    <t>EUR</t>
  </si>
  <si>
    <t>2001*</t>
  </si>
  <si>
    <t>01/21</t>
  </si>
  <si>
    <t>01/25</t>
  </si>
  <si>
    <t>amel./deter.</t>
  </si>
  <si>
    <t>03/25</t>
  </si>
  <si>
    <t>constant - idd</t>
  </si>
  <si>
    <t>07/23</t>
  </si>
  <si>
    <t>2000*</t>
  </si>
  <si>
    <t>08/24</t>
  </si>
  <si>
    <t>DSA evolution</t>
  </si>
  <si>
    <t>First Creditor</t>
  </si>
  <si>
    <t>Share China</t>
  </si>
  <si>
    <t>Share Private</t>
  </si>
  <si>
    <t>Evol. dom debt</t>
  </si>
  <si>
    <t>Share dom. debt</t>
  </si>
  <si>
    <t>BVH</t>
  </si>
  <si>
    <t>JL</t>
  </si>
  <si>
    <t>SS</t>
  </si>
  <si>
    <t>Congo Rep</t>
  </si>
  <si>
    <t>0/1</t>
  </si>
  <si>
    <t>Lao PDR</t>
  </si>
  <si>
    <t>Angola</t>
  </si>
  <si>
    <t>Vietnam</t>
  </si>
  <si>
    <t>Cote d'Ivoire</t>
  </si>
  <si>
    <t>Somalia, Fed. Rep.</t>
  </si>
  <si>
    <t>country-data-dsa</t>
  </si>
  <si>
    <t>Sao Tome and Principe</t>
  </si>
  <si>
    <t>hipc-completion</t>
  </si>
  <si>
    <t>iso</t>
  </si>
  <si>
    <t>AFG</t>
  </si>
  <si>
    <t>BEN</t>
  </si>
  <si>
    <t>COM</t>
  </si>
  <si>
    <t>BFA</t>
  </si>
  <si>
    <t>BDI</t>
  </si>
  <si>
    <t>CMR</t>
  </si>
  <si>
    <t>CAF</t>
  </si>
  <si>
    <t>MLI</t>
  </si>
  <si>
    <t>MOZ</t>
  </si>
  <si>
    <t>NIC</t>
  </si>
  <si>
    <t>SEN</t>
  </si>
  <si>
    <t>SOM</t>
  </si>
  <si>
    <t>UGA</t>
  </si>
  <si>
    <t>TCD</t>
  </si>
  <si>
    <t>COD</t>
  </si>
  <si>
    <t>COG</t>
  </si>
  <si>
    <t>CIV</t>
  </si>
  <si>
    <t>ETH</t>
  </si>
  <si>
    <t>GMB</t>
  </si>
  <si>
    <t>GHA</t>
  </si>
  <si>
    <t>BGD</t>
  </si>
  <si>
    <t>BTN</t>
  </si>
  <si>
    <t>CPV</t>
  </si>
  <si>
    <t>KHM</t>
  </si>
  <si>
    <t>DJI</t>
  </si>
  <si>
    <t>DMA</t>
  </si>
  <si>
    <t>ERI</t>
  </si>
  <si>
    <t>GRD</t>
  </si>
  <si>
    <t>GIN</t>
  </si>
  <si>
    <t>GNB</t>
  </si>
  <si>
    <t>HTI</t>
  </si>
  <si>
    <t>HND</t>
  </si>
  <si>
    <t>KEN</t>
  </si>
  <si>
    <t>KIR</t>
  </si>
  <si>
    <t>KGZ</t>
  </si>
  <si>
    <t>LAO</t>
  </si>
  <si>
    <t>LSO</t>
  </si>
  <si>
    <t>LBR</t>
  </si>
  <si>
    <t>MDG</t>
  </si>
  <si>
    <t>MWI</t>
  </si>
  <si>
    <t>MDV</t>
  </si>
  <si>
    <t>MHL</t>
  </si>
  <si>
    <t>MRT</t>
  </si>
  <si>
    <t>FSM</t>
  </si>
  <si>
    <t>MDA</t>
  </si>
  <si>
    <t>MMR</t>
  </si>
  <si>
    <t>NPL</t>
  </si>
  <si>
    <t>NER</t>
  </si>
  <si>
    <t>PNG</t>
  </si>
  <si>
    <t>RWA</t>
  </si>
  <si>
    <t>WSM</t>
  </si>
  <si>
    <t>STP</t>
  </si>
  <si>
    <t>SLE</t>
  </si>
  <si>
    <t>SLB</t>
  </si>
  <si>
    <t>SSD</t>
  </si>
  <si>
    <t>LCA</t>
  </si>
  <si>
    <t>VCT</t>
  </si>
  <si>
    <t>SDN</t>
  </si>
  <si>
    <t>TJK</t>
  </si>
  <si>
    <t>TZA</t>
  </si>
  <si>
    <t>TLS</t>
  </si>
  <si>
    <t>TGO</t>
  </si>
  <si>
    <t>TON</t>
  </si>
  <si>
    <t>TUV</t>
  </si>
  <si>
    <t>UZB</t>
  </si>
  <si>
    <t>VUT</t>
  </si>
  <si>
    <t>YEM</t>
  </si>
  <si>
    <t>ZMB</t>
  </si>
  <si>
    <t>ZWE</t>
  </si>
  <si>
    <t>prgt</t>
  </si>
  <si>
    <t>prgt-name</t>
  </si>
  <si>
    <t>ids-name</t>
  </si>
  <si>
    <t>Congo, Rep.</t>
  </si>
  <si>
    <t>x</t>
  </si>
  <si>
    <t>Yemen, Rep.</t>
  </si>
  <si>
    <t>focus-group</t>
  </si>
  <si>
    <t>lidc</t>
  </si>
  <si>
    <t>region</t>
  </si>
  <si>
    <t>monetary-union</t>
  </si>
  <si>
    <t>cex</t>
  </si>
  <si>
    <t>fcs</t>
  </si>
  <si>
    <t>sds</t>
  </si>
  <si>
    <t>fiscal-rule-2021</t>
  </si>
  <si>
    <t>debt-rule-place-2021</t>
  </si>
  <si>
    <t>had-program</t>
  </si>
  <si>
    <t>nb-program(05:24)</t>
  </si>
  <si>
    <t>dr(post-hipc)</t>
  </si>
  <si>
    <t>domestic-debt-exposure(05:23)</t>
  </si>
  <si>
    <t>liquidity-risk-evolution(05:24)</t>
  </si>
  <si>
    <t>rst</t>
  </si>
  <si>
    <t>hipc</t>
  </si>
  <si>
    <t>dssi-eligible-participant</t>
  </si>
  <si>
    <t>dssi-eligible-nonparticipant</t>
  </si>
  <si>
    <t>frontier-market</t>
  </si>
  <si>
    <t>exposure-china</t>
  </si>
  <si>
    <t>program-user</t>
  </si>
  <si>
    <t>hipc?</t>
  </si>
  <si>
    <t>dr?</t>
  </si>
  <si>
    <t>Congo, Dem. Rep</t>
  </si>
  <si>
    <t>Congo, Rep</t>
  </si>
  <si>
    <t>Micronesia, Federated States of</t>
  </si>
  <si>
    <t>Yemen, 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</si>
</sst>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000000"/>
      <name val="Calibri"/>
      <family val="2"/>
    </font>
    <font>
      <sz val="10"/>
      <color rgb="FF000000"/>
      <name val="Segoe U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b/>
      <sz val="10"/>
      <color rgb="FF000000"/>
      <name val="Segoe UI"/>
      <family val="2"/>
    </font>
    <font>
      <sz val="10"/>
      <color rgb="FF000000"/>
      <name val="Lucida Console"/>
      <family val="3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2D5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/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2" xfId="0" applyFont="1" applyBorder="1" applyAlignment="1">
      <alignment vertical="top"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3" xfId="0" applyFill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4" xfId="0" applyNumberFormat="1" applyBorder="1" applyAlignment="1">
      <alignment horizontal="center"/>
    </xf>
    <xf numFmtId="164" fontId="0" fillId="0" borderId="7" xfId="0" applyNumberForma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164" fontId="3" fillId="0" borderId="3" xfId="0" applyNumberFormat="1" applyFont="1" applyBorder="1" applyAlignment="1">
      <alignment horizontal="left" vertical="top"/>
    </xf>
    <xf numFmtId="164" fontId="0" fillId="0" borderId="8" xfId="0" applyNumberFormat="1" applyBorder="1" applyAlignment="1">
      <alignment horizontal="center" vertical="center"/>
    </xf>
    <xf numFmtId="0" fontId="0" fillId="3" borderId="0" xfId="0" applyFill="1" applyAlignment="1">
      <alignment horizontal="center"/>
    </xf>
    <xf numFmtId="164" fontId="2" fillId="0" borderId="8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/>
    </xf>
    <xf numFmtId="0" fontId="0" fillId="4" borderId="0" xfId="0" applyFill="1" applyAlignment="1">
      <alignment horizontal="center"/>
    </xf>
    <xf numFmtId="49" fontId="0" fillId="4" borderId="0" xfId="0" applyNumberFormat="1" applyFill="1" applyAlignment="1">
      <alignment horizontal="center"/>
    </xf>
    <xf numFmtId="49" fontId="0" fillId="4" borderId="4" xfId="0" applyNumberFormat="1" applyFill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11" xfId="0" applyNumberFormat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/>
    </xf>
    <xf numFmtId="0" fontId="3" fillId="0" borderId="12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6" fillId="0" borderId="0" xfId="0" applyFont="1"/>
    <xf numFmtId="0" fontId="6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7" fillId="0" borderId="0" xfId="0" applyFont="1"/>
    <xf numFmtId="0" fontId="8" fillId="0" borderId="0" xfId="0" applyFont="1"/>
    <xf numFmtId="49" fontId="1" fillId="0" borderId="4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9" fillId="0" borderId="4" xfId="0" applyFont="1" applyBorder="1" applyAlignment="1">
      <alignment horizontal="left" vertical="top"/>
    </xf>
    <xf numFmtId="164" fontId="9" fillId="0" borderId="0" xfId="0" applyNumberFormat="1" applyFont="1" applyAlignment="1">
      <alignment horizontal="left" vertical="top"/>
    </xf>
    <xf numFmtId="0" fontId="7" fillId="0" borderId="4" xfId="0" applyFont="1" applyBorder="1"/>
    <xf numFmtId="0" fontId="6" fillId="0" borderId="4" xfId="0" applyFont="1" applyBorder="1"/>
    <xf numFmtId="0" fontId="7" fillId="5" borderId="0" xfId="0" applyFont="1" applyFill="1"/>
    <xf numFmtId="0" fontId="10" fillId="0" borderId="0" xfId="0" applyFont="1" applyAlignment="1">
      <alignment vertical="center"/>
    </xf>
    <xf numFmtId="0" fontId="1" fillId="0" borderId="14" xfId="0" applyFont="1" applyBorder="1" applyAlignment="1">
      <alignment wrapText="1"/>
    </xf>
    <xf numFmtId="0" fontId="1" fillId="2" borderId="14" xfId="0" applyFont="1" applyFill="1" applyBorder="1"/>
    <xf numFmtId="0" fontId="1" fillId="0" borderId="15" xfId="0" applyFont="1" applyBorder="1" applyAlignment="1">
      <alignment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94E48-5C75-45AD-B6F7-46496C341A74}">
  <dimension ref="A1:BT70"/>
  <sheetViews>
    <sheetView tabSelected="1"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Y2" sqref="Y2"/>
    </sheetView>
  </sheetViews>
  <sheetFormatPr defaultRowHeight="12.5" x14ac:dyDescent="0.25"/>
  <cols>
    <col min="4" max="9" width="9.1796875" customWidth="1"/>
    <col min="10" max="10" width="7" customWidth="1"/>
    <col min="11" max="11" width="10.1796875" customWidth="1"/>
    <col min="12" max="13" width="10.54296875" customWidth="1"/>
    <col min="14" max="17" width="9.1796875" customWidth="1"/>
    <col min="18" max="18" width="11" customWidth="1"/>
    <col min="19" max="19" width="14.1796875" customWidth="1"/>
    <col min="20" max="20" width="14.1796875" hidden="1" customWidth="1"/>
    <col min="21" max="21" width="18.453125" customWidth="1"/>
    <col min="22" max="23" width="20" hidden="1" customWidth="1"/>
    <col min="24" max="26" width="10.453125" customWidth="1"/>
    <col min="27" max="28" width="9.1796875" customWidth="1"/>
    <col min="30" max="32" width="15.81640625" customWidth="1"/>
    <col min="33" max="33" width="16.81640625" customWidth="1"/>
    <col min="34" max="54" width="20.26953125" hidden="1" customWidth="1"/>
    <col min="55" max="55" width="20.26953125" customWidth="1"/>
    <col min="56" max="56" width="20.26953125" hidden="1" customWidth="1"/>
    <col min="57" max="57" width="20.26953125" customWidth="1"/>
    <col min="58" max="71" width="20.26953125" hidden="1" customWidth="1"/>
    <col min="72" max="72" width="20.26953125" customWidth="1"/>
  </cols>
  <sheetData>
    <row r="1" spans="1:72" ht="52" x14ac:dyDescent="0.3">
      <c r="A1" t="s">
        <v>207</v>
      </c>
      <c r="B1" t="s">
        <v>1</v>
      </c>
      <c r="C1" t="s">
        <v>0</v>
      </c>
      <c r="D1" t="s">
        <v>71</v>
      </c>
      <c r="E1" t="s">
        <v>72</v>
      </c>
      <c r="F1" t="s">
        <v>204</v>
      </c>
      <c r="G1" t="s">
        <v>73</v>
      </c>
      <c r="H1" t="s">
        <v>74</v>
      </c>
      <c r="I1" t="s">
        <v>75</v>
      </c>
      <c r="J1" s="1" t="s">
        <v>283</v>
      </c>
      <c r="K1" s="2" t="s">
        <v>284</v>
      </c>
      <c r="L1" s="2" t="s">
        <v>285</v>
      </c>
      <c r="M1" s="1" t="s">
        <v>286</v>
      </c>
      <c r="N1" s="2" t="s">
        <v>287</v>
      </c>
      <c r="O1" s="2" t="s">
        <v>288</v>
      </c>
      <c r="P1" s="2" t="s">
        <v>289</v>
      </c>
      <c r="Q1" s="3" t="s">
        <v>291</v>
      </c>
      <c r="R1" s="4" t="s">
        <v>290</v>
      </c>
      <c r="S1" s="1" t="s">
        <v>292</v>
      </c>
      <c r="T1" s="1" t="s">
        <v>76</v>
      </c>
      <c r="U1" s="51" t="s">
        <v>293</v>
      </c>
      <c r="V1" s="1" t="s">
        <v>77</v>
      </c>
      <c r="W1" s="1" t="s">
        <v>78</v>
      </c>
      <c r="X1" s="1" t="s">
        <v>297</v>
      </c>
      <c r="Y1" t="s">
        <v>278</v>
      </c>
      <c r="Z1" s="1" t="s">
        <v>279</v>
      </c>
      <c r="AA1" s="5" t="s">
        <v>298</v>
      </c>
      <c r="AB1" s="2" t="s">
        <v>277</v>
      </c>
      <c r="AC1" s="2" t="s">
        <v>206</v>
      </c>
      <c r="AD1" s="52" t="s">
        <v>294</v>
      </c>
      <c r="AE1" s="2" t="s">
        <v>299</v>
      </c>
      <c r="AF1" s="2" t="s">
        <v>300</v>
      </c>
      <c r="AG1" s="5" t="s">
        <v>301</v>
      </c>
      <c r="AH1" s="2" t="s">
        <v>79</v>
      </c>
      <c r="AI1" s="1" t="s">
        <v>80</v>
      </c>
      <c r="AJ1" s="6" t="s">
        <v>81</v>
      </c>
      <c r="AK1" s="1" t="s">
        <v>82</v>
      </c>
      <c r="AL1" s="1" t="s">
        <v>83</v>
      </c>
      <c r="AM1" s="1" t="s">
        <v>84</v>
      </c>
      <c r="AN1" s="1" t="s">
        <v>85</v>
      </c>
      <c r="AO1" s="1" t="s">
        <v>86</v>
      </c>
      <c r="AP1" s="7" t="s">
        <v>87</v>
      </c>
      <c r="AQ1" s="1" t="s">
        <v>88</v>
      </c>
      <c r="AR1" s="1" t="s">
        <v>89</v>
      </c>
      <c r="AS1" s="1" t="s">
        <v>90</v>
      </c>
      <c r="AT1" s="1" t="s">
        <v>91</v>
      </c>
      <c r="AU1" s="1" t="s">
        <v>92</v>
      </c>
      <c r="AV1" s="3" t="s">
        <v>93</v>
      </c>
      <c r="AW1" s="8" t="s">
        <v>94</v>
      </c>
      <c r="AX1" s="1" t="s">
        <v>95</v>
      </c>
      <c r="AY1" s="1" t="s">
        <v>96</v>
      </c>
      <c r="AZ1" s="1" t="s">
        <v>97</v>
      </c>
      <c r="BA1" s="1" t="s">
        <v>98</v>
      </c>
      <c r="BB1" s="1" t="s">
        <v>99</v>
      </c>
      <c r="BC1" s="53" t="s">
        <v>295</v>
      </c>
      <c r="BD1" s="1" t="s">
        <v>100</v>
      </c>
      <c r="BE1" s="1" t="s">
        <v>302</v>
      </c>
      <c r="BF1" s="1" t="s">
        <v>101</v>
      </c>
      <c r="BG1" s="1" t="s">
        <v>102</v>
      </c>
      <c r="BH1" s="1" t="s">
        <v>103</v>
      </c>
      <c r="BI1" s="1" t="s">
        <v>104</v>
      </c>
      <c r="BJ1" s="1" t="s">
        <v>105</v>
      </c>
      <c r="BK1" s="1" t="s">
        <v>106</v>
      </c>
      <c r="BL1" s="6" t="s">
        <v>107</v>
      </c>
      <c r="BM1" s="1" t="s">
        <v>108</v>
      </c>
      <c r="BN1" s="1" t="s">
        <v>109</v>
      </c>
      <c r="BO1" s="1" t="s">
        <v>110</v>
      </c>
      <c r="BP1" s="1" t="s">
        <v>111</v>
      </c>
      <c r="BQ1" s="1" t="s">
        <v>112</v>
      </c>
      <c r="BR1" s="1" t="s">
        <v>113</v>
      </c>
      <c r="BS1" s="1" t="s">
        <v>114</v>
      </c>
      <c r="BT1" s="51" t="s">
        <v>296</v>
      </c>
    </row>
    <row r="2" spans="1:72" ht="16" x14ac:dyDescent="0.25">
      <c r="A2" t="s">
        <v>208</v>
      </c>
      <c r="B2">
        <v>512</v>
      </c>
      <c r="C2" t="s">
        <v>2</v>
      </c>
      <c r="K2" s="9">
        <v>1</v>
      </c>
      <c r="L2" s="9" t="s">
        <v>115</v>
      </c>
      <c r="M2" s="9"/>
      <c r="N2" s="9">
        <v>1</v>
      </c>
      <c r="O2" s="9">
        <v>1</v>
      </c>
      <c r="P2" s="9"/>
      <c r="Q2" s="10"/>
      <c r="R2" s="11"/>
      <c r="S2" s="9">
        <v>1</v>
      </c>
      <c r="T2" s="9"/>
      <c r="U2" s="9">
        <v>4</v>
      </c>
      <c r="V2" s="9">
        <v>1</v>
      </c>
      <c r="W2" s="9">
        <v>1</v>
      </c>
      <c r="X2" s="9"/>
      <c r="Y2" t="s">
        <v>2</v>
      </c>
      <c r="Z2" s="50" t="s">
        <v>2</v>
      </c>
      <c r="AA2" s="12">
        <v>1</v>
      </c>
      <c r="AB2" s="9">
        <v>1</v>
      </c>
      <c r="AC2" s="9">
        <v>2010</v>
      </c>
      <c r="AD2" s="13"/>
      <c r="AE2" s="14">
        <v>1</v>
      </c>
      <c r="AF2" s="13"/>
      <c r="AG2" s="12"/>
      <c r="AH2" s="9">
        <v>1</v>
      </c>
      <c r="AI2" s="9">
        <v>1</v>
      </c>
      <c r="AJ2" s="12" t="s">
        <v>116</v>
      </c>
      <c r="AK2" s="9" t="s">
        <v>116</v>
      </c>
      <c r="AL2" s="9" t="s">
        <v>116</v>
      </c>
      <c r="AM2" s="9" t="s">
        <v>116</v>
      </c>
      <c r="AN2" s="15" t="s">
        <v>117</v>
      </c>
      <c r="AO2" s="15" t="s">
        <v>118</v>
      </c>
      <c r="AP2" s="16" t="s">
        <v>119</v>
      </c>
      <c r="AQ2" s="9" t="s">
        <v>120</v>
      </c>
      <c r="AR2" s="9">
        <v>2.68</v>
      </c>
      <c r="AS2" s="9" t="s">
        <v>120</v>
      </c>
      <c r="AT2" s="9">
        <v>1.66</v>
      </c>
      <c r="AU2" s="9" t="s">
        <v>121</v>
      </c>
      <c r="AV2" s="17">
        <v>2</v>
      </c>
      <c r="AW2" s="18">
        <v>0</v>
      </c>
      <c r="AX2" s="19" t="s">
        <v>122</v>
      </c>
      <c r="AY2" s="19" t="s">
        <v>122</v>
      </c>
      <c r="AZ2" s="20" t="s">
        <v>122</v>
      </c>
      <c r="BA2" s="20" t="s">
        <v>122</v>
      </c>
      <c r="BB2" s="19" t="s">
        <v>122</v>
      </c>
      <c r="BC2" s="21" t="s">
        <v>122</v>
      </c>
      <c r="BD2" s="9" t="s">
        <v>123</v>
      </c>
      <c r="BE2" s="9">
        <v>0</v>
      </c>
      <c r="BF2" s="9">
        <v>0</v>
      </c>
      <c r="BG2" s="9">
        <v>0</v>
      </c>
      <c r="BH2" s="9">
        <v>50.1</v>
      </c>
      <c r="BI2" s="9">
        <v>17.7</v>
      </c>
      <c r="BJ2" s="9">
        <v>0</v>
      </c>
      <c r="BK2" s="9">
        <v>32.200000000000003</v>
      </c>
      <c r="BL2" s="22">
        <v>0.18267130243451471</v>
      </c>
      <c r="BM2" s="19">
        <v>0.32237928512127523</v>
      </c>
      <c r="BN2" s="19" t="s">
        <v>122</v>
      </c>
      <c r="BO2" s="19" t="s">
        <v>122</v>
      </c>
      <c r="BP2" s="20">
        <v>1</v>
      </c>
      <c r="BQ2" s="20" t="s">
        <v>122</v>
      </c>
      <c r="BR2" s="20">
        <v>1</v>
      </c>
      <c r="BS2" s="20" t="s">
        <v>122</v>
      </c>
      <c r="BT2" s="20"/>
    </row>
    <row r="3" spans="1:72" ht="16" x14ac:dyDescent="0.25">
      <c r="A3" t="s">
        <v>228</v>
      </c>
      <c r="B3">
        <v>513</v>
      </c>
      <c r="C3" t="s">
        <v>3</v>
      </c>
      <c r="K3" s="9">
        <v>1</v>
      </c>
      <c r="L3" s="9" t="s">
        <v>124</v>
      </c>
      <c r="M3" s="9"/>
      <c r="N3" s="9"/>
      <c r="O3" s="9"/>
      <c r="P3" s="9"/>
      <c r="Q3" s="10"/>
      <c r="R3" s="11"/>
      <c r="S3" s="9">
        <v>1</v>
      </c>
      <c r="T3" s="9">
        <v>1</v>
      </c>
      <c r="U3" s="9">
        <v>2</v>
      </c>
      <c r="V3" s="9">
        <v>1</v>
      </c>
      <c r="W3" s="9">
        <v>0</v>
      </c>
      <c r="X3" s="9">
        <v>1</v>
      </c>
      <c r="Y3" t="s">
        <v>3</v>
      </c>
      <c r="Z3" t="s">
        <v>3</v>
      </c>
      <c r="AA3" s="12"/>
      <c r="AB3" s="9">
        <v>1</v>
      </c>
      <c r="AC3" s="9"/>
      <c r="AD3" s="13"/>
      <c r="AE3" s="14"/>
      <c r="AF3" s="13">
        <v>1</v>
      </c>
      <c r="AG3" s="12"/>
      <c r="AH3" s="9" t="s">
        <v>125</v>
      </c>
      <c r="AI3" s="9">
        <v>3</v>
      </c>
      <c r="AJ3" s="12" t="s">
        <v>126</v>
      </c>
      <c r="AK3" s="9"/>
      <c r="AL3" s="9" t="s">
        <v>126</v>
      </c>
      <c r="AM3" s="9" t="s">
        <v>126</v>
      </c>
      <c r="AN3" s="15" t="s">
        <v>127</v>
      </c>
      <c r="AO3" s="15" t="s">
        <v>118</v>
      </c>
      <c r="AP3" s="16" t="s">
        <v>128</v>
      </c>
      <c r="AQ3" s="9" t="s">
        <v>129</v>
      </c>
      <c r="AR3" s="9">
        <v>3.28</v>
      </c>
      <c r="AS3" s="9" t="s">
        <v>129</v>
      </c>
      <c r="AT3" s="9">
        <v>3.12</v>
      </c>
      <c r="AU3" s="9" t="s">
        <v>121</v>
      </c>
      <c r="AV3" s="23">
        <v>2</v>
      </c>
      <c r="AW3" s="18">
        <v>0</v>
      </c>
      <c r="AX3" s="19">
        <v>39.14966879725096</v>
      </c>
      <c r="AY3" s="19">
        <v>55.518192019935029</v>
      </c>
      <c r="AZ3" s="20">
        <v>4</v>
      </c>
      <c r="BA3" s="20">
        <v>4</v>
      </c>
      <c r="BB3" s="19">
        <v>16.368523222684068</v>
      </c>
      <c r="BC3" s="21" t="s">
        <v>130</v>
      </c>
      <c r="BD3" s="9" t="s">
        <v>131</v>
      </c>
      <c r="BE3" s="9">
        <v>0</v>
      </c>
      <c r="BF3" s="9">
        <v>6.4</v>
      </c>
      <c r="BG3" s="9">
        <v>9.9</v>
      </c>
      <c r="BH3" s="9">
        <v>20.8</v>
      </c>
      <c r="BI3" s="9">
        <v>34.799999999999997</v>
      </c>
      <c r="BJ3" s="9">
        <v>0</v>
      </c>
      <c r="BK3" s="9">
        <v>28.1</v>
      </c>
      <c r="BL3" s="22">
        <v>9.8533271036464054</v>
      </c>
      <c r="BM3" s="19">
        <v>15.360121264378307</v>
      </c>
      <c r="BN3" s="19">
        <v>17.647151958623081</v>
      </c>
      <c r="BO3" s="19">
        <v>20.830910055039357</v>
      </c>
      <c r="BP3" s="20">
        <v>4</v>
      </c>
      <c r="BQ3" s="20">
        <v>4</v>
      </c>
      <c r="BR3" s="20">
        <v>4</v>
      </c>
      <c r="BS3" s="20">
        <v>4</v>
      </c>
      <c r="BT3" s="20" t="s">
        <v>132</v>
      </c>
    </row>
    <row r="4" spans="1:72" ht="16" x14ac:dyDescent="0.25">
      <c r="A4" t="s">
        <v>209</v>
      </c>
      <c r="B4">
        <v>638</v>
      </c>
      <c r="C4" t="s">
        <v>4</v>
      </c>
      <c r="K4" s="9">
        <v>1</v>
      </c>
      <c r="L4" s="9" t="s">
        <v>133</v>
      </c>
      <c r="M4" s="9" t="s">
        <v>134</v>
      </c>
      <c r="N4" s="9">
        <v>1</v>
      </c>
      <c r="O4" s="9"/>
      <c r="P4" s="9"/>
      <c r="Q4" s="10">
        <v>1</v>
      </c>
      <c r="R4" s="11">
        <v>1</v>
      </c>
      <c r="S4" s="9">
        <v>1</v>
      </c>
      <c r="T4" s="9">
        <v>1</v>
      </c>
      <c r="U4" s="9">
        <v>4</v>
      </c>
      <c r="V4" s="9">
        <v>1</v>
      </c>
      <c r="W4" s="9">
        <v>1</v>
      </c>
      <c r="X4" s="9">
        <v>1</v>
      </c>
      <c r="Y4" t="s">
        <v>4</v>
      </c>
      <c r="Z4" t="s">
        <v>4</v>
      </c>
      <c r="AA4" s="12">
        <v>1</v>
      </c>
      <c r="AB4" s="9">
        <v>1</v>
      </c>
      <c r="AC4" s="9">
        <v>2003</v>
      </c>
      <c r="AD4" s="13"/>
      <c r="AE4" s="14"/>
      <c r="AF4" s="13">
        <v>1</v>
      </c>
      <c r="AG4" s="12">
        <v>1</v>
      </c>
      <c r="AH4" s="9" t="s">
        <v>125</v>
      </c>
      <c r="AI4" s="9">
        <v>2</v>
      </c>
      <c r="AJ4" s="12" t="s">
        <v>135</v>
      </c>
      <c r="AK4" s="9"/>
      <c r="AL4" s="9" t="s">
        <v>135</v>
      </c>
      <c r="AM4" s="9" t="s">
        <v>135</v>
      </c>
      <c r="AN4" s="15" t="s">
        <v>136</v>
      </c>
      <c r="AO4" s="15" t="s">
        <v>118</v>
      </c>
      <c r="AP4" s="16" t="s">
        <v>137</v>
      </c>
      <c r="AQ4" s="9" t="s">
        <v>129</v>
      </c>
      <c r="AR4" s="9">
        <v>3.47</v>
      </c>
      <c r="AS4" s="9" t="s">
        <v>129</v>
      </c>
      <c r="AT4" s="9">
        <v>3.9</v>
      </c>
      <c r="AU4" s="9" t="s">
        <v>121</v>
      </c>
      <c r="AV4" s="23">
        <v>1.74</v>
      </c>
      <c r="AW4" s="18">
        <v>2.4999999999999929</v>
      </c>
      <c r="AX4" s="19">
        <v>14.087352051956401</v>
      </c>
      <c r="AY4" s="19">
        <v>33.713005000759836</v>
      </c>
      <c r="AZ4" s="20">
        <v>1</v>
      </c>
      <c r="BA4" s="20">
        <v>2</v>
      </c>
      <c r="BB4" s="19">
        <v>19.625652948803435</v>
      </c>
      <c r="BC4" s="21" t="s">
        <v>138</v>
      </c>
      <c r="BD4" s="9" t="s">
        <v>131</v>
      </c>
      <c r="BE4" s="9">
        <v>0</v>
      </c>
      <c r="BF4" s="9">
        <v>8.9</v>
      </c>
      <c r="BG4" s="9">
        <v>20.100000000000001</v>
      </c>
      <c r="BH4" s="9">
        <v>5.2</v>
      </c>
      <c r="BI4" s="9">
        <v>31.6</v>
      </c>
      <c r="BJ4" s="9">
        <v>0</v>
      </c>
      <c r="BK4" s="9">
        <v>34.200000000000003</v>
      </c>
      <c r="BL4" s="22">
        <v>1.6992339412436255</v>
      </c>
      <c r="BM4" s="19">
        <v>1.5822543725615472</v>
      </c>
      <c r="BN4" s="19">
        <v>7.2674422702800321</v>
      </c>
      <c r="BO4" s="19">
        <v>11.727214166916269</v>
      </c>
      <c r="BP4" s="20">
        <v>1</v>
      </c>
      <c r="BQ4" s="20">
        <v>3</v>
      </c>
      <c r="BR4" s="20">
        <v>1</v>
      </c>
      <c r="BS4" s="20">
        <v>3</v>
      </c>
      <c r="BT4" s="20" t="s">
        <v>139</v>
      </c>
    </row>
    <row r="5" spans="1:72" ht="16" x14ac:dyDescent="0.25">
      <c r="A5" t="s">
        <v>229</v>
      </c>
      <c r="B5">
        <v>514</v>
      </c>
      <c r="C5" t="s">
        <v>5</v>
      </c>
      <c r="K5" s="9">
        <v>1</v>
      </c>
      <c r="L5" s="9" t="s">
        <v>124</v>
      </c>
      <c r="M5" s="9"/>
      <c r="N5" s="9"/>
      <c r="O5" s="9"/>
      <c r="P5" s="9">
        <v>1</v>
      </c>
      <c r="Q5" s="10"/>
      <c r="R5" s="11"/>
      <c r="S5" s="9">
        <v>0</v>
      </c>
      <c r="T5" s="9"/>
      <c r="U5" s="9"/>
      <c r="V5" s="9">
        <v>0</v>
      </c>
      <c r="W5" s="9">
        <v>0</v>
      </c>
      <c r="X5" s="9"/>
      <c r="Y5" t="s">
        <v>5</v>
      </c>
      <c r="Z5" t="s">
        <v>5</v>
      </c>
      <c r="AA5" s="12"/>
      <c r="AB5" s="9">
        <v>1</v>
      </c>
      <c r="AC5" s="9"/>
      <c r="AD5" s="13"/>
      <c r="AE5" s="14"/>
      <c r="AF5" s="13">
        <v>1</v>
      </c>
      <c r="AG5" s="12"/>
      <c r="AH5" s="9" t="s">
        <v>125</v>
      </c>
      <c r="AI5" s="9">
        <v>3</v>
      </c>
      <c r="AJ5" s="12" t="s">
        <v>135</v>
      </c>
      <c r="AK5" s="9"/>
      <c r="AL5" s="9" t="s">
        <v>135</v>
      </c>
      <c r="AM5" s="9" t="s">
        <v>135</v>
      </c>
      <c r="AN5" s="15" t="s">
        <v>140</v>
      </c>
      <c r="AO5" s="15" t="s">
        <v>118</v>
      </c>
      <c r="AP5" s="16" t="s">
        <v>137</v>
      </c>
      <c r="AQ5" s="9" t="s">
        <v>141</v>
      </c>
      <c r="AR5" s="9">
        <v>3.68</v>
      </c>
      <c r="AS5" s="9" t="s">
        <v>141</v>
      </c>
      <c r="AT5" s="9">
        <v>3.75</v>
      </c>
      <c r="AU5" s="9" t="s">
        <v>121</v>
      </c>
      <c r="AV5" s="23">
        <v>2</v>
      </c>
      <c r="AW5" s="18">
        <v>2</v>
      </c>
      <c r="AX5" s="19">
        <v>1.5759486892271752</v>
      </c>
      <c r="AY5" s="19">
        <v>4.9843135739956921</v>
      </c>
      <c r="AZ5" s="20">
        <v>1</v>
      </c>
      <c r="BA5" s="20">
        <v>1</v>
      </c>
      <c r="BB5" s="19">
        <v>3.4083648847685168</v>
      </c>
      <c r="BC5" s="21" t="s">
        <v>142</v>
      </c>
      <c r="BD5" s="9" t="s">
        <v>123</v>
      </c>
      <c r="BE5" s="9">
        <v>0</v>
      </c>
      <c r="BF5" s="9">
        <v>0</v>
      </c>
      <c r="BG5" s="9">
        <v>1.1000000000000001</v>
      </c>
      <c r="BH5" s="9">
        <v>74.5</v>
      </c>
      <c r="BI5" s="9">
        <v>10.1</v>
      </c>
      <c r="BJ5" s="9">
        <v>0</v>
      </c>
      <c r="BK5" s="9">
        <v>14.2</v>
      </c>
      <c r="BL5" s="22">
        <v>3.6549414730362608</v>
      </c>
      <c r="BM5" s="19">
        <v>3.860340703890845</v>
      </c>
      <c r="BN5" s="19">
        <v>4.7982723712914686</v>
      </c>
      <c r="BO5" s="19">
        <v>6.5746781640256273</v>
      </c>
      <c r="BP5" s="20">
        <v>2</v>
      </c>
      <c r="BQ5" s="20">
        <v>2</v>
      </c>
      <c r="BR5" s="20">
        <v>2</v>
      </c>
      <c r="BS5" s="20">
        <v>2</v>
      </c>
      <c r="BT5" s="20" t="s">
        <v>143</v>
      </c>
    </row>
    <row r="6" spans="1:72" ht="16" x14ac:dyDescent="0.25">
      <c r="A6" t="s">
        <v>211</v>
      </c>
      <c r="B6">
        <v>748</v>
      </c>
      <c r="C6" t="s">
        <v>6</v>
      </c>
      <c r="K6" s="9">
        <v>1</v>
      </c>
      <c r="L6" s="9" t="s">
        <v>133</v>
      </c>
      <c r="M6" s="9" t="s">
        <v>134</v>
      </c>
      <c r="N6" s="9">
        <v>1</v>
      </c>
      <c r="O6" s="9">
        <v>1</v>
      </c>
      <c r="P6" s="9"/>
      <c r="Q6" s="10">
        <v>1</v>
      </c>
      <c r="R6" s="11">
        <v>1</v>
      </c>
      <c r="S6" s="9">
        <v>1</v>
      </c>
      <c r="T6" s="9">
        <v>1</v>
      </c>
      <c r="U6" s="9">
        <v>5</v>
      </c>
      <c r="V6" s="9">
        <v>1</v>
      </c>
      <c r="W6" s="9">
        <v>1</v>
      </c>
      <c r="X6" s="9"/>
      <c r="Y6" t="s">
        <v>6</v>
      </c>
      <c r="Z6" t="s">
        <v>6</v>
      </c>
      <c r="AA6" s="12">
        <v>1</v>
      </c>
      <c r="AB6" s="9">
        <v>1</v>
      </c>
      <c r="AC6" s="9">
        <v>2002</v>
      </c>
      <c r="AD6" s="13"/>
      <c r="AE6" s="14">
        <v>1</v>
      </c>
      <c r="AF6" s="13"/>
      <c r="AG6" s="12"/>
      <c r="AH6" s="9">
        <v>1</v>
      </c>
      <c r="AI6" s="9">
        <v>1</v>
      </c>
      <c r="AJ6" s="12" t="s">
        <v>135</v>
      </c>
      <c r="AK6" s="9"/>
      <c r="AL6" s="9" t="s">
        <v>135</v>
      </c>
      <c r="AM6" s="9" t="s">
        <v>135</v>
      </c>
      <c r="AN6" s="15" t="s">
        <v>127</v>
      </c>
      <c r="AO6" s="15" t="s">
        <v>118</v>
      </c>
      <c r="AP6" s="16" t="s">
        <v>137</v>
      </c>
      <c r="AQ6" s="9" t="s">
        <v>141</v>
      </c>
      <c r="AR6" s="9">
        <v>3.77</v>
      </c>
      <c r="AS6" s="9" t="s">
        <v>129</v>
      </c>
      <c r="AT6" s="9">
        <v>3.43</v>
      </c>
      <c r="AU6" s="9" t="s">
        <v>144</v>
      </c>
      <c r="AV6" s="23">
        <v>2.6749999999999998</v>
      </c>
      <c r="AW6" s="18">
        <v>0</v>
      </c>
      <c r="AX6" s="19">
        <v>18.494298352647746</v>
      </c>
      <c r="AY6" s="19">
        <v>57.130869282768124</v>
      </c>
      <c r="AZ6" s="20">
        <v>2</v>
      </c>
      <c r="BA6" s="20">
        <v>4</v>
      </c>
      <c r="BB6" s="19">
        <v>38.636570930120378</v>
      </c>
      <c r="BC6" s="21" t="s">
        <v>145</v>
      </c>
      <c r="BD6" s="9" t="s">
        <v>131</v>
      </c>
      <c r="BE6" s="9">
        <v>0</v>
      </c>
      <c r="BF6" s="9">
        <v>2.4</v>
      </c>
      <c r="BG6" s="9">
        <v>0.6</v>
      </c>
      <c r="BH6" s="9">
        <v>9.6</v>
      </c>
      <c r="BI6" s="9">
        <v>47.3</v>
      </c>
      <c r="BJ6" s="9">
        <v>0</v>
      </c>
      <c r="BK6" s="9">
        <v>40.200000000000003</v>
      </c>
      <c r="BL6" s="22">
        <v>6.3160789224226397</v>
      </c>
      <c r="BM6" s="19">
        <v>3.6566385785963038</v>
      </c>
      <c r="BN6" s="19">
        <v>6.413710303568501</v>
      </c>
      <c r="BO6" s="19">
        <v>8.6155789802781015</v>
      </c>
      <c r="BP6" s="20">
        <v>2</v>
      </c>
      <c r="BQ6" s="20">
        <v>3</v>
      </c>
      <c r="BR6" s="20">
        <v>3</v>
      </c>
      <c r="BS6" s="20">
        <v>3</v>
      </c>
      <c r="BT6" s="20" t="s">
        <v>146</v>
      </c>
    </row>
    <row r="7" spans="1:72" ht="16" x14ac:dyDescent="0.25">
      <c r="A7" t="s">
        <v>212</v>
      </c>
      <c r="B7">
        <v>618</v>
      </c>
      <c r="C7" t="s">
        <v>7</v>
      </c>
      <c r="K7" s="9">
        <v>1</v>
      </c>
      <c r="L7" s="9" t="s">
        <v>133</v>
      </c>
      <c r="M7" s="9" t="s">
        <v>147</v>
      </c>
      <c r="N7" s="9">
        <v>1</v>
      </c>
      <c r="O7" s="9">
        <v>1</v>
      </c>
      <c r="P7" s="9"/>
      <c r="Q7" s="10">
        <v>1</v>
      </c>
      <c r="R7" s="11">
        <v>1</v>
      </c>
      <c r="S7" s="9">
        <v>1</v>
      </c>
      <c r="T7" s="9"/>
      <c r="U7" s="9">
        <v>3</v>
      </c>
      <c r="V7" s="9">
        <v>1</v>
      </c>
      <c r="W7" s="9">
        <v>1</v>
      </c>
      <c r="X7" s="9"/>
      <c r="Y7" t="s">
        <v>7</v>
      </c>
      <c r="Z7" t="s">
        <v>7</v>
      </c>
      <c r="AA7" s="12">
        <v>1</v>
      </c>
      <c r="AB7" s="9">
        <v>1</v>
      </c>
      <c r="AC7" s="9">
        <v>2009</v>
      </c>
      <c r="AD7" s="13"/>
      <c r="AE7" s="14">
        <v>1</v>
      </c>
      <c r="AF7" s="13"/>
      <c r="AG7" s="12"/>
      <c r="AH7" s="9">
        <v>1</v>
      </c>
      <c r="AI7" s="9">
        <v>1</v>
      </c>
      <c r="AJ7" s="12" t="s">
        <v>116</v>
      </c>
      <c r="AK7" s="9" t="s">
        <v>116</v>
      </c>
      <c r="AL7" s="9" t="s">
        <v>116</v>
      </c>
      <c r="AM7" s="9" t="s">
        <v>116</v>
      </c>
      <c r="AN7" s="15" t="s">
        <v>148</v>
      </c>
      <c r="AO7" s="15" t="s">
        <v>118</v>
      </c>
      <c r="AP7" s="16" t="s">
        <v>119</v>
      </c>
      <c r="AQ7" s="9" t="s">
        <v>120</v>
      </c>
      <c r="AR7" s="9">
        <v>3.24</v>
      </c>
      <c r="AS7" s="9" t="s">
        <v>120</v>
      </c>
      <c r="AT7" s="9">
        <v>3.07</v>
      </c>
      <c r="AU7" s="9" t="s">
        <v>121</v>
      </c>
      <c r="AV7" s="23">
        <v>7</v>
      </c>
      <c r="AW7" s="18">
        <v>0</v>
      </c>
      <c r="AX7" s="19">
        <v>29.097606169550289</v>
      </c>
      <c r="AY7" s="19">
        <v>74.486090398555149</v>
      </c>
      <c r="AZ7" s="20">
        <v>3</v>
      </c>
      <c r="BA7" s="20">
        <v>4</v>
      </c>
      <c r="BB7" s="19">
        <v>45.38848422900486</v>
      </c>
      <c r="BC7" s="21" t="s">
        <v>145</v>
      </c>
      <c r="BD7" s="9" t="s">
        <v>131</v>
      </c>
      <c r="BE7" s="9">
        <v>0</v>
      </c>
      <c r="BF7" s="9">
        <v>5.2</v>
      </c>
      <c r="BG7" s="9">
        <v>0</v>
      </c>
      <c r="BH7" s="9">
        <v>22.4</v>
      </c>
      <c r="BI7" s="9">
        <v>29.8</v>
      </c>
      <c r="BJ7" s="9">
        <v>0</v>
      </c>
      <c r="BK7" s="9">
        <v>42.5</v>
      </c>
      <c r="BL7" s="22">
        <v>32.274336908160876</v>
      </c>
      <c r="BM7" s="19">
        <v>11.72211904571769</v>
      </c>
      <c r="BN7" s="19">
        <v>27.232054981897114</v>
      </c>
      <c r="BO7" s="19">
        <v>12.440850789643079</v>
      </c>
      <c r="BP7" s="20">
        <v>4</v>
      </c>
      <c r="BQ7" s="20">
        <v>3</v>
      </c>
      <c r="BR7" s="20">
        <v>4</v>
      </c>
      <c r="BS7" s="20">
        <v>4</v>
      </c>
      <c r="BT7" s="20" t="s">
        <v>132</v>
      </c>
    </row>
    <row r="8" spans="1:72" ht="16" x14ac:dyDescent="0.25">
      <c r="A8" t="s">
        <v>230</v>
      </c>
      <c r="B8">
        <v>624</v>
      </c>
      <c r="C8" t="s">
        <v>8</v>
      </c>
      <c r="G8" t="s">
        <v>8</v>
      </c>
      <c r="K8" s="9"/>
      <c r="L8" s="9" t="s">
        <v>133</v>
      </c>
      <c r="M8" s="9"/>
      <c r="N8" s="9"/>
      <c r="O8" s="9"/>
      <c r="P8" s="9">
        <v>1</v>
      </c>
      <c r="Q8" s="10">
        <v>1</v>
      </c>
      <c r="R8" s="11">
        <v>1</v>
      </c>
      <c r="S8" s="9">
        <v>1</v>
      </c>
      <c r="T8" s="9">
        <v>1</v>
      </c>
      <c r="U8" s="9">
        <v>1</v>
      </c>
      <c r="V8" s="9">
        <v>0</v>
      </c>
      <c r="W8" s="9">
        <v>0</v>
      </c>
      <c r="X8" s="9">
        <v>1</v>
      </c>
      <c r="Y8" t="s">
        <v>8</v>
      </c>
      <c r="Z8" t="s">
        <v>8</v>
      </c>
      <c r="AA8" s="12"/>
      <c r="AB8" s="9">
        <v>1</v>
      </c>
      <c r="AC8" s="9"/>
      <c r="AD8" s="13"/>
      <c r="AE8" s="14">
        <v>1</v>
      </c>
      <c r="AF8" s="13"/>
      <c r="AG8" s="12"/>
      <c r="AH8" s="9" t="s">
        <v>125</v>
      </c>
      <c r="AI8" s="9">
        <v>4</v>
      </c>
      <c r="AJ8" s="12" t="s">
        <v>126</v>
      </c>
      <c r="AK8" s="9"/>
      <c r="AL8" s="9" t="s">
        <v>135</v>
      </c>
      <c r="AM8" s="9" t="s">
        <v>116</v>
      </c>
      <c r="AN8" s="15" t="s">
        <v>149</v>
      </c>
      <c r="AO8" s="15" t="s">
        <v>118</v>
      </c>
      <c r="AP8" s="16" t="s">
        <v>150</v>
      </c>
      <c r="AQ8" s="9" t="s">
        <v>141</v>
      </c>
      <c r="AR8" s="9">
        <v>3.92</v>
      </c>
      <c r="AS8" s="9" t="s">
        <v>141</v>
      </c>
      <c r="AT8" s="9">
        <v>3.88</v>
      </c>
      <c r="AU8" s="9" t="s">
        <v>121</v>
      </c>
      <c r="AV8" s="23">
        <v>24.7</v>
      </c>
      <c r="AW8" s="18">
        <v>1.1000000000000014</v>
      </c>
      <c r="AX8" s="19">
        <v>47.642889118270148</v>
      </c>
      <c r="AY8" s="19">
        <v>34.995070427003924</v>
      </c>
      <c r="AZ8" s="20">
        <v>4</v>
      </c>
      <c r="BA8" s="20">
        <v>2</v>
      </c>
      <c r="BB8" s="19">
        <v>-12.647818691266224</v>
      </c>
      <c r="BC8" s="21" t="s">
        <v>151</v>
      </c>
      <c r="BD8" s="9" t="s">
        <v>131</v>
      </c>
      <c r="BE8" s="9">
        <v>0</v>
      </c>
      <c r="BF8" s="9">
        <v>1.7</v>
      </c>
      <c r="BG8" s="9">
        <v>28.1</v>
      </c>
      <c r="BH8" s="9">
        <v>20.5</v>
      </c>
      <c r="BI8" s="9">
        <v>24.1</v>
      </c>
      <c r="BJ8" s="9">
        <v>0</v>
      </c>
      <c r="BK8" s="9">
        <v>25.6</v>
      </c>
      <c r="BL8" s="22">
        <v>6.0301994988879084</v>
      </c>
      <c r="BM8" s="19">
        <v>7.2454494055641225</v>
      </c>
      <c r="BN8" s="19">
        <v>5.7187078178968527</v>
      </c>
      <c r="BO8" s="19">
        <v>8.2196817270836178</v>
      </c>
      <c r="BP8" s="20">
        <v>3</v>
      </c>
      <c r="BQ8" s="20">
        <v>3</v>
      </c>
      <c r="BR8" s="20">
        <v>3</v>
      </c>
      <c r="BS8" s="20">
        <v>2</v>
      </c>
      <c r="BT8" s="20" t="s">
        <v>152</v>
      </c>
    </row>
    <row r="9" spans="1:72" ht="16" x14ac:dyDescent="0.25">
      <c r="A9" t="s">
        <v>231</v>
      </c>
      <c r="B9">
        <v>522</v>
      </c>
      <c r="C9" t="s">
        <v>9</v>
      </c>
      <c r="K9" s="9">
        <v>1</v>
      </c>
      <c r="L9" s="9" t="s">
        <v>124</v>
      </c>
      <c r="M9" s="9"/>
      <c r="N9" s="9"/>
      <c r="O9" s="9"/>
      <c r="P9" s="9"/>
      <c r="Q9" s="10">
        <v>1</v>
      </c>
      <c r="R9" s="11"/>
      <c r="S9" s="9">
        <v>0</v>
      </c>
      <c r="T9" s="9"/>
      <c r="U9" s="9"/>
      <c r="V9" s="9">
        <v>0</v>
      </c>
      <c r="W9" s="9">
        <v>0</v>
      </c>
      <c r="X9" s="9"/>
      <c r="Y9" t="s">
        <v>9</v>
      </c>
      <c r="Z9" t="s">
        <v>9</v>
      </c>
      <c r="AA9" s="12"/>
      <c r="AB9" s="9">
        <v>1</v>
      </c>
      <c r="AC9" s="9"/>
      <c r="AD9" s="13"/>
      <c r="AE9" s="14"/>
      <c r="AF9" s="13">
        <v>1</v>
      </c>
      <c r="AG9" s="12"/>
      <c r="AH9" s="9" t="s">
        <v>125</v>
      </c>
      <c r="AI9" s="9">
        <v>2</v>
      </c>
      <c r="AJ9" s="12" t="s">
        <v>116</v>
      </c>
      <c r="AK9" s="9"/>
      <c r="AL9" s="9" t="s">
        <v>126</v>
      </c>
      <c r="AM9" s="9" t="s">
        <v>126</v>
      </c>
      <c r="AN9" s="15" t="s">
        <v>136</v>
      </c>
      <c r="AO9" s="15" t="s">
        <v>118</v>
      </c>
      <c r="AP9" s="16" t="s">
        <v>153</v>
      </c>
      <c r="AQ9" s="9" t="s">
        <v>129</v>
      </c>
      <c r="AR9" s="9">
        <v>3.45</v>
      </c>
      <c r="AS9" s="9" t="s">
        <v>129</v>
      </c>
      <c r="AT9" s="9">
        <v>3.57</v>
      </c>
      <c r="AU9" s="9" t="s">
        <v>121</v>
      </c>
      <c r="AV9" s="23">
        <v>0</v>
      </c>
      <c r="AW9" s="18">
        <v>6.9666666666666686</v>
      </c>
      <c r="AX9" s="19">
        <v>0</v>
      </c>
      <c r="AY9" s="19">
        <v>0.78798785333536614</v>
      </c>
      <c r="AZ9" s="20">
        <v>1</v>
      </c>
      <c r="BA9" s="20">
        <v>1</v>
      </c>
      <c r="BB9" s="19">
        <v>0.78798785333536614</v>
      </c>
      <c r="BC9" s="21" t="s">
        <v>142</v>
      </c>
      <c r="BD9" s="9" t="s">
        <v>154</v>
      </c>
      <c r="BE9" s="9">
        <v>1</v>
      </c>
      <c r="BF9" s="9">
        <v>44.8</v>
      </c>
      <c r="BG9" s="9">
        <v>0</v>
      </c>
      <c r="BH9" s="9">
        <v>24.5</v>
      </c>
      <c r="BI9" s="9">
        <v>9</v>
      </c>
      <c r="BJ9" s="9">
        <v>0</v>
      </c>
      <c r="BK9" s="9">
        <v>21.7</v>
      </c>
      <c r="BL9" s="22">
        <v>0.3346629192933448</v>
      </c>
      <c r="BM9" s="19">
        <v>1.7950473189638712</v>
      </c>
      <c r="BN9" s="19">
        <v>0.23121531940976275</v>
      </c>
      <c r="BO9" s="19">
        <v>0.96813710317416934</v>
      </c>
      <c r="BP9" s="20">
        <v>1</v>
      </c>
      <c r="BQ9" s="20">
        <v>1</v>
      </c>
      <c r="BR9" s="20">
        <v>1</v>
      </c>
      <c r="BS9" s="20">
        <v>1</v>
      </c>
      <c r="BT9" s="20" t="s">
        <v>142</v>
      </c>
    </row>
    <row r="10" spans="1:72" ht="16" x14ac:dyDescent="0.25">
      <c r="A10" t="s">
        <v>213</v>
      </c>
      <c r="B10">
        <v>622</v>
      </c>
      <c r="C10" t="s">
        <v>10</v>
      </c>
      <c r="K10" s="9">
        <v>1</v>
      </c>
      <c r="L10" s="9" t="s">
        <v>133</v>
      </c>
      <c r="M10" s="9" t="s">
        <v>155</v>
      </c>
      <c r="N10" s="9"/>
      <c r="O10" s="9">
        <v>1</v>
      </c>
      <c r="P10" s="9"/>
      <c r="Q10" s="10">
        <v>1</v>
      </c>
      <c r="R10" s="11">
        <v>1</v>
      </c>
      <c r="S10" s="9">
        <v>1</v>
      </c>
      <c r="T10" s="9">
        <v>1</v>
      </c>
      <c r="U10" s="9">
        <v>3</v>
      </c>
      <c r="V10" s="9">
        <v>1</v>
      </c>
      <c r="W10" s="9">
        <v>1</v>
      </c>
      <c r="X10" s="9">
        <v>1</v>
      </c>
      <c r="Y10" t="s">
        <v>10</v>
      </c>
      <c r="Z10" s="50" t="s">
        <v>10</v>
      </c>
      <c r="AA10" s="12">
        <v>1</v>
      </c>
      <c r="AB10" s="9">
        <v>1</v>
      </c>
      <c r="AC10" s="9">
        <v>2006</v>
      </c>
      <c r="AD10" s="13"/>
      <c r="AE10" s="14">
        <v>1</v>
      </c>
      <c r="AF10" s="13"/>
      <c r="AG10" s="12">
        <v>1</v>
      </c>
      <c r="AH10" s="9" t="s">
        <v>125</v>
      </c>
      <c r="AI10" s="9">
        <v>2</v>
      </c>
      <c r="AJ10" s="12" t="s">
        <v>126</v>
      </c>
      <c r="AK10" s="9" t="s">
        <v>126</v>
      </c>
      <c r="AL10" s="9" t="s">
        <v>116</v>
      </c>
      <c r="AM10" s="9" t="s">
        <v>116</v>
      </c>
      <c r="AN10" s="15" t="s">
        <v>156</v>
      </c>
      <c r="AO10" s="15" t="s">
        <v>118</v>
      </c>
      <c r="AP10" s="16" t="s">
        <v>150</v>
      </c>
      <c r="AQ10" s="9" t="s">
        <v>120</v>
      </c>
      <c r="AR10" s="9">
        <v>3.23</v>
      </c>
      <c r="AS10" s="9" t="s">
        <v>120</v>
      </c>
      <c r="AT10" s="9">
        <v>3.33</v>
      </c>
      <c r="AU10" s="9" t="s">
        <v>121</v>
      </c>
      <c r="AV10" s="23">
        <v>5.6857142857142851</v>
      </c>
      <c r="AW10" s="18">
        <v>2.9571428571428626</v>
      </c>
      <c r="AX10" s="19">
        <v>20.661874347439422</v>
      </c>
      <c r="AY10" s="19">
        <v>43.908083489662197</v>
      </c>
      <c r="AZ10" s="20">
        <v>2</v>
      </c>
      <c r="BA10" s="20">
        <v>2</v>
      </c>
      <c r="BB10" s="19">
        <v>23.246209142222774</v>
      </c>
      <c r="BC10" s="21" t="s">
        <v>138</v>
      </c>
      <c r="BD10" s="9" t="s">
        <v>131</v>
      </c>
      <c r="BE10" s="9">
        <v>1</v>
      </c>
      <c r="BF10" s="9">
        <v>34.799999999999997</v>
      </c>
      <c r="BG10" s="9">
        <v>12.4</v>
      </c>
      <c r="BH10" s="9">
        <v>17</v>
      </c>
      <c r="BI10" s="9">
        <v>16.600000000000001</v>
      </c>
      <c r="BJ10" s="9">
        <v>0.2</v>
      </c>
      <c r="BK10" s="9">
        <v>18.899999999999999</v>
      </c>
      <c r="BL10" s="22">
        <v>5.7862215933251715</v>
      </c>
      <c r="BM10" s="19">
        <v>8.1197387554656562</v>
      </c>
      <c r="BN10" s="19">
        <v>5.7830794315530163</v>
      </c>
      <c r="BO10" s="19">
        <v>6.2148849438769647</v>
      </c>
      <c r="BP10" s="20">
        <v>3</v>
      </c>
      <c r="BQ10" s="20">
        <v>2</v>
      </c>
      <c r="BR10" s="20">
        <v>3</v>
      </c>
      <c r="BS10" s="20">
        <v>3</v>
      </c>
      <c r="BT10" s="20" t="s">
        <v>152</v>
      </c>
    </row>
    <row r="11" spans="1:72" ht="16" x14ac:dyDescent="0.25">
      <c r="A11" t="s">
        <v>214</v>
      </c>
      <c r="B11">
        <v>626</v>
      </c>
      <c r="C11" t="s">
        <v>11</v>
      </c>
      <c r="G11" t="s">
        <v>11</v>
      </c>
      <c r="K11" s="9">
        <v>1</v>
      </c>
      <c r="L11" s="9" t="s">
        <v>133</v>
      </c>
      <c r="M11" s="9" t="s">
        <v>155</v>
      </c>
      <c r="N11" s="9">
        <v>1</v>
      </c>
      <c r="O11" s="9">
        <v>1</v>
      </c>
      <c r="P11" s="9"/>
      <c r="Q11" s="10">
        <v>1</v>
      </c>
      <c r="R11" s="11">
        <v>1</v>
      </c>
      <c r="S11" s="9">
        <v>1</v>
      </c>
      <c r="T11" s="9">
        <v>1</v>
      </c>
      <c r="U11" s="9">
        <v>5</v>
      </c>
      <c r="V11" s="9">
        <v>1</v>
      </c>
      <c r="W11" s="9">
        <v>1</v>
      </c>
      <c r="X11" s="9"/>
      <c r="Y11" t="s">
        <v>11</v>
      </c>
      <c r="Z11" s="50" t="s">
        <v>11</v>
      </c>
      <c r="AA11" s="12">
        <v>1</v>
      </c>
      <c r="AB11" s="9">
        <v>1</v>
      </c>
      <c r="AC11" s="9">
        <v>2009</v>
      </c>
      <c r="AD11" s="13"/>
      <c r="AE11" s="12">
        <v>1</v>
      </c>
      <c r="AF11" s="9"/>
      <c r="AG11" s="12"/>
      <c r="AH11" s="9">
        <v>1</v>
      </c>
      <c r="AI11" s="9">
        <v>1</v>
      </c>
      <c r="AJ11" s="12"/>
      <c r="AK11" s="9" t="s">
        <v>135</v>
      </c>
      <c r="AL11" s="9" t="s">
        <v>116</v>
      </c>
      <c r="AM11" s="9" t="s">
        <v>116</v>
      </c>
      <c r="AN11" s="15" t="s">
        <v>127</v>
      </c>
      <c r="AO11" s="15" t="s">
        <v>118</v>
      </c>
      <c r="AP11" s="16" t="s">
        <v>150</v>
      </c>
      <c r="AQ11" s="9" t="s">
        <v>120</v>
      </c>
      <c r="AR11" s="9">
        <v>2.71</v>
      </c>
      <c r="AS11" s="9" t="s">
        <v>120</v>
      </c>
      <c r="AT11" s="9">
        <v>2.59</v>
      </c>
      <c r="AU11" s="9" t="s">
        <v>121</v>
      </c>
      <c r="AV11" s="23">
        <v>5</v>
      </c>
      <c r="AW11" s="18">
        <v>0</v>
      </c>
      <c r="AX11" s="19">
        <v>35.748758121913056</v>
      </c>
      <c r="AY11" s="19">
        <v>70.990408695370888</v>
      </c>
      <c r="AZ11" s="20">
        <v>4</v>
      </c>
      <c r="BA11" s="20">
        <v>4</v>
      </c>
      <c r="BB11" s="19">
        <v>35.241650573457832</v>
      </c>
      <c r="BC11" s="21" t="s">
        <v>145</v>
      </c>
      <c r="BD11" s="9" t="s">
        <v>123</v>
      </c>
      <c r="BE11" s="9">
        <v>1</v>
      </c>
      <c r="BF11" s="9">
        <v>17.8</v>
      </c>
      <c r="BG11" s="9">
        <v>4.3</v>
      </c>
      <c r="BH11" s="9">
        <v>46.6</v>
      </c>
      <c r="BI11" s="9">
        <v>22.6</v>
      </c>
      <c r="BJ11" s="9">
        <v>0</v>
      </c>
      <c r="BK11" s="9">
        <v>8.6999999999999993</v>
      </c>
      <c r="BL11" s="22">
        <v>7.4568581906848692</v>
      </c>
      <c r="BM11" s="19">
        <v>7.6773834084883781</v>
      </c>
      <c r="BN11" s="19">
        <v>6.8857966934688877</v>
      </c>
      <c r="BO11" s="19">
        <v>6.8914243166433256</v>
      </c>
      <c r="BP11" s="20">
        <v>3</v>
      </c>
      <c r="BQ11" s="20">
        <v>2</v>
      </c>
      <c r="BR11" s="20">
        <v>3</v>
      </c>
      <c r="BS11" s="20">
        <v>3</v>
      </c>
      <c r="BT11" s="20" t="s">
        <v>152</v>
      </c>
    </row>
    <row r="12" spans="1:72" ht="16" x14ac:dyDescent="0.25">
      <c r="A12" t="s">
        <v>221</v>
      </c>
      <c r="B12">
        <v>628</v>
      </c>
      <c r="C12" t="s">
        <v>12</v>
      </c>
      <c r="J12">
        <v>1</v>
      </c>
      <c r="K12" s="9">
        <v>1</v>
      </c>
      <c r="L12" s="9" t="s">
        <v>133</v>
      </c>
      <c r="M12" s="9" t="s">
        <v>155</v>
      </c>
      <c r="N12" s="9">
        <v>1</v>
      </c>
      <c r="O12" s="9">
        <v>1</v>
      </c>
      <c r="P12" s="9"/>
      <c r="Q12" s="10">
        <v>1</v>
      </c>
      <c r="R12" s="11">
        <v>1</v>
      </c>
      <c r="S12" s="9">
        <v>1</v>
      </c>
      <c r="T12" s="9"/>
      <c r="U12" s="9">
        <v>4</v>
      </c>
      <c r="V12" s="9">
        <v>1</v>
      </c>
      <c r="W12" s="9">
        <v>1</v>
      </c>
      <c r="X12" s="9"/>
      <c r="Y12" t="s">
        <v>12</v>
      </c>
      <c r="Z12" s="50" t="s">
        <v>12</v>
      </c>
      <c r="AA12" s="12">
        <v>1</v>
      </c>
      <c r="AB12" s="9">
        <v>1</v>
      </c>
      <c r="AC12" s="9">
        <v>2015</v>
      </c>
      <c r="AD12" s="24">
        <v>1</v>
      </c>
      <c r="AE12" s="12">
        <v>1</v>
      </c>
      <c r="AF12" s="9"/>
      <c r="AG12" s="12"/>
      <c r="AH12" s="9">
        <v>1</v>
      </c>
      <c r="AI12" s="9">
        <v>1</v>
      </c>
      <c r="AJ12" s="12" t="s">
        <v>116</v>
      </c>
      <c r="AK12" s="9" t="s">
        <v>116</v>
      </c>
      <c r="AL12" s="9" t="s">
        <v>116</v>
      </c>
      <c r="AM12" s="9" t="s">
        <v>116</v>
      </c>
      <c r="AN12" s="15" t="s">
        <v>157</v>
      </c>
      <c r="AO12" s="15" t="s">
        <v>158</v>
      </c>
      <c r="AP12" s="16" t="s">
        <v>119</v>
      </c>
      <c r="AQ12" s="9" t="s">
        <v>120</v>
      </c>
      <c r="AR12" s="9">
        <v>2.5099999999999998</v>
      </c>
      <c r="AS12" s="9" t="s">
        <v>120</v>
      </c>
      <c r="AT12" s="9">
        <v>2.7</v>
      </c>
      <c r="AU12" s="9" t="s">
        <v>121</v>
      </c>
      <c r="AV12" s="23">
        <v>7.625</v>
      </c>
      <c r="AW12" s="18">
        <v>0</v>
      </c>
      <c r="AX12" s="19">
        <v>15.758666410573255</v>
      </c>
      <c r="AY12" s="19">
        <v>61.878561577868595</v>
      </c>
      <c r="AZ12" s="20">
        <v>2</v>
      </c>
      <c r="BA12" s="20">
        <v>4</v>
      </c>
      <c r="BB12" s="19">
        <v>46.11989516729534</v>
      </c>
      <c r="BC12" s="21" t="s">
        <v>145</v>
      </c>
      <c r="BD12" s="9" t="s">
        <v>159</v>
      </c>
      <c r="BE12" s="9">
        <v>0</v>
      </c>
      <c r="BF12" s="9">
        <v>9.6999999999999993</v>
      </c>
      <c r="BG12" s="9">
        <v>39.799999999999997</v>
      </c>
      <c r="BH12" s="9">
        <v>23.2</v>
      </c>
      <c r="BI12" s="9">
        <v>8.1</v>
      </c>
      <c r="BJ12" s="9">
        <v>0</v>
      </c>
      <c r="BK12" s="9">
        <v>19.3</v>
      </c>
      <c r="BL12" s="22">
        <v>0.61715062637702811</v>
      </c>
      <c r="BM12" s="19">
        <v>2.5788165987288267</v>
      </c>
      <c r="BN12" s="19">
        <v>3.360864875087028</v>
      </c>
      <c r="BO12" s="19">
        <v>6.4891844833818544</v>
      </c>
      <c r="BP12" s="20">
        <v>1</v>
      </c>
      <c r="BQ12" s="20">
        <v>2</v>
      </c>
      <c r="BR12" s="20">
        <v>1</v>
      </c>
      <c r="BS12" s="20">
        <v>1</v>
      </c>
      <c r="BT12" s="20" t="s">
        <v>142</v>
      </c>
    </row>
    <row r="13" spans="1:72" ht="16" x14ac:dyDescent="0.25">
      <c r="A13" t="s">
        <v>210</v>
      </c>
      <c r="B13">
        <v>632</v>
      </c>
      <c r="C13" t="s">
        <v>13</v>
      </c>
      <c r="K13" s="9">
        <v>1</v>
      </c>
      <c r="L13" s="9" t="s">
        <v>133</v>
      </c>
      <c r="M13" s="9"/>
      <c r="N13" s="9"/>
      <c r="O13" s="9">
        <v>1</v>
      </c>
      <c r="P13" s="9">
        <v>1</v>
      </c>
      <c r="Q13" s="10"/>
      <c r="R13" s="11"/>
      <c r="S13" s="9">
        <v>1</v>
      </c>
      <c r="T13" s="9">
        <v>1</v>
      </c>
      <c r="U13" s="9">
        <v>2</v>
      </c>
      <c r="V13" s="9">
        <v>1</v>
      </c>
      <c r="W13" s="9">
        <v>0</v>
      </c>
      <c r="X13" s="9"/>
      <c r="Y13" t="s">
        <v>13</v>
      </c>
      <c r="Z13" s="50" t="s">
        <v>13</v>
      </c>
      <c r="AA13" s="12">
        <v>1</v>
      </c>
      <c r="AB13" s="9">
        <v>1</v>
      </c>
      <c r="AC13" s="9">
        <v>2012</v>
      </c>
      <c r="AD13" s="13"/>
      <c r="AE13" s="12">
        <v>1</v>
      </c>
      <c r="AF13" s="9"/>
      <c r="AG13" s="12"/>
      <c r="AH13" s="9" t="s">
        <v>160</v>
      </c>
      <c r="AI13" s="9">
        <v>2</v>
      </c>
      <c r="AJ13" s="12" t="s">
        <v>161</v>
      </c>
      <c r="AK13" s="9" t="s">
        <v>116</v>
      </c>
      <c r="AL13" s="9" t="s">
        <v>162</v>
      </c>
      <c r="AM13" s="9" t="s">
        <v>116</v>
      </c>
      <c r="AN13" s="15" t="s">
        <v>136</v>
      </c>
      <c r="AO13" s="15" t="s">
        <v>118</v>
      </c>
      <c r="AP13" s="16" t="s">
        <v>119</v>
      </c>
      <c r="AQ13" s="9" t="s">
        <v>120</v>
      </c>
      <c r="AR13" s="9">
        <v>2.78</v>
      </c>
      <c r="AS13" s="9" t="s">
        <v>129</v>
      </c>
      <c r="AT13" s="9">
        <v>2.67</v>
      </c>
      <c r="AU13" s="9" t="s">
        <v>163</v>
      </c>
      <c r="AV13" s="23">
        <v>2.4</v>
      </c>
      <c r="AW13" s="18">
        <v>0</v>
      </c>
      <c r="AX13" s="19">
        <v>0</v>
      </c>
      <c r="AY13" s="19">
        <v>28.376021301155404</v>
      </c>
      <c r="AZ13" s="20">
        <v>1</v>
      </c>
      <c r="BA13" s="20">
        <v>1</v>
      </c>
      <c r="BB13" s="19">
        <v>28.376021301155404</v>
      </c>
      <c r="BC13" s="21" t="s">
        <v>138</v>
      </c>
      <c r="BD13" s="9" t="s">
        <v>131</v>
      </c>
      <c r="BE13" s="9">
        <v>1</v>
      </c>
      <c r="BF13" s="9">
        <v>23.2</v>
      </c>
      <c r="BG13" s="9">
        <v>0</v>
      </c>
      <c r="BH13" s="9">
        <v>35.200000000000003</v>
      </c>
      <c r="BI13" s="9">
        <v>9.1999999999999993</v>
      </c>
      <c r="BJ13" s="9">
        <v>8</v>
      </c>
      <c r="BK13" s="9">
        <v>24.4</v>
      </c>
      <c r="BL13" s="22">
        <v>5.4554686889882733</v>
      </c>
      <c r="BM13" s="19">
        <v>3.8724702352323921</v>
      </c>
      <c r="BN13" s="19">
        <v>3.2666737981534322</v>
      </c>
      <c r="BO13" s="19">
        <v>2.2266489600268433</v>
      </c>
      <c r="BP13" s="20">
        <v>2</v>
      </c>
      <c r="BQ13" s="20">
        <v>1</v>
      </c>
      <c r="BR13" s="20">
        <v>3</v>
      </c>
      <c r="BS13" s="20">
        <v>1</v>
      </c>
      <c r="BT13" s="20" t="s">
        <v>164</v>
      </c>
    </row>
    <row r="14" spans="1:72" ht="16" x14ac:dyDescent="0.25">
      <c r="A14" t="s">
        <v>222</v>
      </c>
      <c r="B14">
        <v>636</v>
      </c>
      <c r="C14" t="s">
        <v>14</v>
      </c>
      <c r="G14" t="s">
        <v>306</v>
      </c>
      <c r="K14" s="9">
        <v>1</v>
      </c>
      <c r="L14" s="9" t="s">
        <v>133</v>
      </c>
      <c r="M14" s="9"/>
      <c r="N14" s="9">
        <v>1</v>
      </c>
      <c r="O14" s="9">
        <v>1</v>
      </c>
      <c r="P14" s="9"/>
      <c r="Q14" s="10"/>
      <c r="R14" s="11"/>
      <c r="S14" s="9">
        <v>1</v>
      </c>
      <c r="T14" s="9">
        <v>1</v>
      </c>
      <c r="U14" s="9">
        <v>2</v>
      </c>
      <c r="V14" s="9">
        <v>1</v>
      </c>
      <c r="W14" s="9">
        <v>1</v>
      </c>
      <c r="X14" s="9">
        <v>1</v>
      </c>
      <c r="Y14" t="s">
        <v>14</v>
      </c>
      <c r="Z14" t="s">
        <v>14</v>
      </c>
      <c r="AA14" s="12">
        <v>1</v>
      </c>
      <c r="AB14" s="9">
        <v>1</v>
      </c>
      <c r="AC14" s="9">
        <v>2010</v>
      </c>
      <c r="AD14" s="13"/>
      <c r="AE14" s="12">
        <v>1</v>
      </c>
      <c r="AF14" s="9"/>
      <c r="AG14" s="12"/>
      <c r="AH14" s="9">
        <v>1</v>
      </c>
      <c r="AI14" s="9">
        <v>1</v>
      </c>
      <c r="AJ14" s="12"/>
      <c r="AK14" s="9" t="s">
        <v>116</v>
      </c>
      <c r="AL14" s="9" t="s">
        <v>135</v>
      </c>
      <c r="AM14" s="9" t="s">
        <v>135</v>
      </c>
      <c r="AN14" s="15" t="s">
        <v>165</v>
      </c>
      <c r="AO14" s="15" t="s">
        <v>118</v>
      </c>
      <c r="AP14" s="16" t="s">
        <v>153</v>
      </c>
      <c r="AQ14" s="9" t="s">
        <v>120</v>
      </c>
      <c r="AR14" s="9">
        <v>2.71</v>
      </c>
      <c r="AS14" s="9" t="s">
        <v>120</v>
      </c>
      <c r="AT14" s="9">
        <v>3.18</v>
      </c>
      <c r="AU14" s="9" t="s">
        <v>121</v>
      </c>
      <c r="AV14" s="23">
        <v>0.5</v>
      </c>
      <c r="AW14" s="18">
        <v>0</v>
      </c>
      <c r="AX14" s="19">
        <v>29.57220638470784</v>
      </c>
      <c r="AY14" s="19">
        <v>26.061691346255941</v>
      </c>
      <c r="AZ14" s="20">
        <v>3</v>
      </c>
      <c r="BA14" s="20">
        <v>1</v>
      </c>
      <c r="BB14" s="19">
        <v>-3.5105150384518993</v>
      </c>
      <c r="BC14" s="21" t="s">
        <v>151</v>
      </c>
      <c r="BD14" s="9" t="s">
        <v>154</v>
      </c>
      <c r="BE14" s="9">
        <v>1</v>
      </c>
      <c r="BF14" s="9">
        <v>47.6</v>
      </c>
      <c r="BG14" s="9">
        <v>0.9</v>
      </c>
      <c r="BH14" s="9">
        <v>7.5</v>
      </c>
      <c r="BI14" s="9">
        <v>27</v>
      </c>
      <c r="BJ14" s="9">
        <v>0</v>
      </c>
      <c r="BK14" s="9">
        <v>16.899999999999999</v>
      </c>
      <c r="BL14" s="22">
        <v>1.8199559797302356</v>
      </c>
      <c r="BM14" s="19">
        <v>4.7431595361732697</v>
      </c>
      <c r="BN14" s="19">
        <v>0.74087866940474389</v>
      </c>
      <c r="BO14" s="19">
        <v>2.2878899403437685</v>
      </c>
      <c r="BP14" s="20">
        <v>2</v>
      </c>
      <c r="BQ14" s="20">
        <v>1</v>
      </c>
      <c r="BR14" s="20">
        <v>1</v>
      </c>
      <c r="BS14" s="20">
        <v>1</v>
      </c>
      <c r="BT14" s="20" t="s">
        <v>142</v>
      </c>
    </row>
    <row r="15" spans="1:72" ht="16" x14ac:dyDescent="0.25">
      <c r="A15" t="s">
        <v>223</v>
      </c>
      <c r="B15">
        <v>634</v>
      </c>
      <c r="C15" t="s">
        <v>15</v>
      </c>
      <c r="G15" t="s">
        <v>307</v>
      </c>
      <c r="K15" s="9">
        <v>1</v>
      </c>
      <c r="L15" s="9" t="s">
        <v>133</v>
      </c>
      <c r="M15" s="9" t="s">
        <v>155</v>
      </c>
      <c r="N15" s="9">
        <v>1</v>
      </c>
      <c r="O15" s="9">
        <v>1</v>
      </c>
      <c r="P15" s="9"/>
      <c r="Q15" s="10">
        <v>1</v>
      </c>
      <c r="R15" s="11">
        <v>1</v>
      </c>
      <c r="S15" s="9">
        <v>1</v>
      </c>
      <c r="T15" s="9"/>
      <c r="U15" s="9">
        <v>3</v>
      </c>
      <c r="V15" s="9">
        <v>1</v>
      </c>
      <c r="W15" s="9">
        <v>1</v>
      </c>
      <c r="X15" s="9"/>
      <c r="Y15" t="s">
        <v>15</v>
      </c>
      <c r="Z15" s="50" t="s">
        <v>280</v>
      </c>
      <c r="AA15" s="12">
        <v>1</v>
      </c>
      <c r="AB15" s="9">
        <v>1</v>
      </c>
      <c r="AC15" s="9">
        <v>2010</v>
      </c>
      <c r="AD15" s="13">
        <v>1</v>
      </c>
      <c r="AE15" s="12">
        <v>1</v>
      </c>
      <c r="AF15" s="9"/>
      <c r="AG15" s="12">
        <v>1</v>
      </c>
      <c r="AH15" s="9" t="s">
        <v>160</v>
      </c>
      <c r="AI15" s="9">
        <v>3</v>
      </c>
      <c r="AJ15" s="12" t="s">
        <v>116</v>
      </c>
      <c r="AK15" s="9" t="s">
        <v>135</v>
      </c>
      <c r="AL15" s="9" t="s">
        <v>161</v>
      </c>
      <c r="AM15" s="9" t="s">
        <v>161</v>
      </c>
      <c r="AN15" s="15" t="s">
        <v>165</v>
      </c>
      <c r="AO15" s="15" t="s">
        <v>158</v>
      </c>
      <c r="AP15" s="16" t="s">
        <v>150</v>
      </c>
      <c r="AQ15" s="9" t="s">
        <v>120</v>
      </c>
      <c r="AR15" s="9">
        <v>3</v>
      </c>
      <c r="AS15" s="9" t="s">
        <v>120</v>
      </c>
      <c r="AT15" s="9">
        <v>2.87</v>
      </c>
      <c r="AU15" s="9" t="s">
        <v>121</v>
      </c>
      <c r="AV15" s="23">
        <v>7.4142857142857137</v>
      </c>
      <c r="AW15" s="18">
        <v>1.7142857142857153</v>
      </c>
      <c r="AX15" s="19">
        <v>13.523788026875408</v>
      </c>
      <c r="AY15" s="19">
        <v>51.381903494602447</v>
      </c>
      <c r="AZ15" s="20">
        <v>1</v>
      </c>
      <c r="BA15" s="20">
        <v>3</v>
      </c>
      <c r="BB15" s="19">
        <v>37.858115467727039</v>
      </c>
      <c r="BC15" s="21" t="s">
        <v>145</v>
      </c>
      <c r="BD15" s="9" t="s">
        <v>154</v>
      </c>
      <c r="BE15" s="9">
        <v>1</v>
      </c>
      <c r="BF15" s="9">
        <v>47</v>
      </c>
      <c r="BG15" s="9">
        <v>31.9</v>
      </c>
      <c r="BH15" s="9">
        <v>11.2</v>
      </c>
      <c r="BI15" s="9">
        <v>4</v>
      </c>
      <c r="BJ15" s="9">
        <v>1.6</v>
      </c>
      <c r="BK15" s="9">
        <v>4.3</v>
      </c>
      <c r="BL15" s="22">
        <v>6.0078790063056351</v>
      </c>
      <c r="BM15" s="19">
        <v>12.683631693024003</v>
      </c>
      <c r="BN15" s="19">
        <v>5.6630916127041697</v>
      </c>
      <c r="BO15" s="19">
        <v>12.022497863460327</v>
      </c>
      <c r="BP15" s="20">
        <v>4</v>
      </c>
      <c r="BQ15" s="20">
        <v>3</v>
      </c>
      <c r="BR15" s="20">
        <v>3</v>
      </c>
      <c r="BS15" s="20">
        <v>2</v>
      </c>
      <c r="BT15" s="20" t="s">
        <v>164</v>
      </c>
    </row>
    <row r="16" spans="1:72" ht="16" x14ac:dyDescent="0.25">
      <c r="A16" t="s">
        <v>224</v>
      </c>
      <c r="B16">
        <v>662</v>
      </c>
      <c r="C16" t="s">
        <v>16</v>
      </c>
      <c r="E16" t="s">
        <v>202</v>
      </c>
      <c r="G16" t="s">
        <v>16</v>
      </c>
      <c r="K16" s="9">
        <v>1</v>
      </c>
      <c r="L16" s="9" t="s">
        <v>133</v>
      </c>
      <c r="M16" s="9" t="s">
        <v>134</v>
      </c>
      <c r="N16" s="9"/>
      <c r="O16" s="9"/>
      <c r="P16" s="9"/>
      <c r="Q16" s="10">
        <v>1</v>
      </c>
      <c r="R16" s="11">
        <v>1</v>
      </c>
      <c r="S16" s="9">
        <v>1</v>
      </c>
      <c r="T16" s="9">
        <v>1</v>
      </c>
      <c r="U16" s="9">
        <v>4</v>
      </c>
      <c r="V16" s="9">
        <v>1</v>
      </c>
      <c r="W16" s="9">
        <v>1</v>
      </c>
      <c r="X16" s="9">
        <v>1</v>
      </c>
      <c r="Y16" t="s">
        <v>16</v>
      </c>
      <c r="Z16" s="50" t="s">
        <v>202</v>
      </c>
      <c r="AA16" s="12">
        <v>1</v>
      </c>
      <c r="AB16" s="9">
        <v>1</v>
      </c>
      <c r="AC16" s="9">
        <v>2012</v>
      </c>
      <c r="AD16" s="13">
        <v>0</v>
      </c>
      <c r="AE16" s="12">
        <v>1</v>
      </c>
      <c r="AF16" s="9"/>
      <c r="AG16" s="12">
        <v>1</v>
      </c>
      <c r="AH16" s="9" t="s">
        <v>125</v>
      </c>
      <c r="AI16" s="9">
        <v>3</v>
      </c>
      <c r="AJ16" s="12" t="s">
        <v>161</v>
      </c>
      <c r="AK16" s="9" t="s">
        <v>135</v>
      </c>
      <c r="AL16" s="9" t="s">
        <v>135</v>
      </c>
      <c r="AM16" s="9" t="s">
        <v>135</v>
      </c>
      <c r="AN16" s="15" t="s">
        <v>136</v>
      </c>
      <c r="AO16" s="15" t="s">
        <v>118</v>
      </c>
      <c r="AP16" s="16" t="s">
        <v>137</v>
      </c>
      <c r="AQ16" s="9" t="s">
        <v>120</v>
      </c>
      <c r="AR16" s="9">
        <v>3.07</v>
      </c>
      <c r="AS16" s="9" t="s">
        <v>129</v>
      </c>
      <c r="AT16" s="9">
        <v>3.81</v>
      </c>
      <c r="AU16" s="9" t="s">
        <v>163</v>
      </c>
      <c r="AV16" s="23">
        <v>2.3571428571428572</v>
      </c>
      <c r="AW16" s="18">
        <v>1.8400000000000105</v>
      </c>
      <c r="AX16" s="19">
        <v>23.449360075564002</v>
      </c>
      <c r="AY16" s="19">
        <v>36.835638504575776</v>
      </c>
      <c r="AZ16" s="20">
        <v>3</v>
      </c>
      <c r="BA16" s="20">
        <v>2</v>
      </c>
      <c r="BB16" s="19">
        <v>13.386278429011774</v>
      </c>
      <c r="BC16" s="21" t="s">
        <v>130</v>
      </c>
      <c r="BD16" s="9" t="s">
        <v>159</v>
      </c>
      <c r="BE16" s="9">
        <v>1</v>
      </c>
      <c r="BF16" s="9">
        <v>13.9</v>
      </c>
      <c r="BG16" s="9">
        <v>54</v>
      </c>
      <c r="BH16" s="9">
        <v>15.2</v>
      </c>
      <c r="BI16" s="9">
        <v>8.3000000000000007</v>
      </c>
      <c r="BJ16" s="9">
        <v>0.6</v>
      </c>
      <c r="BK16" s="9">
        <v>8.1</v>
      </c>
      <c r="BL16" s="22">
        <v>3.948092481897711</v>
      </c>
      <c r="BM16" s="19">
        <v>11.334610472541506</v>
      </c>
      <c r="BN16" s="19">
        <v>9.3444757698804306</v>
      </c>
      <c r="BO16" s="19">
        <v>14.435895334074411</v>
      </c>
      <c r="BP16" s="20">
        <v>4</v>
      </c>
      <c r="BQ16" s="20">
        <v>3</v>
      </c>
      <c r="BR16" s="20">
        <v>2</v>
      </c>
      <c r="BS16" s="20">
        <v>3</v>
      </c>
      <c r="BT16" s="20" t="s">
        <v>139</v>
      </c>
    </row>
    <row r="17" spans="1:72" ht="16" x14ac:dyDescent="0.25">
      <c r="A17" t="s">
        <v>232</v>
      </c>
      <c r="B17">
        <v>611</v>
      </c>
      <c r="C17" t="s">
        <v>17</v>
      </c>
      <c r="K17" s="9">
        <v>1</v>
      </c>
      <c r="L17" s="9" t="s">
        <v>115</v>
      </c>
      <c r="M17" s="9"/>
      <c r="N17" s="9"/>
      <c r="O17" s="9"/>
      <c r="P17" s="9">
        <v>1</v>
      </c>
      <c r="Q17" s="10"/>
      <c r="R17" s="11"/>
      <c r="S17" s="9">
        <v>1</v>
      </c>
      <c r="T17" s="9"/>
      <c r="U17" s="9">
        <v>1</v>
      </c>
      <c r="V17" s="9">
        <v>0</v>
      </c>
      <c r="W17" s="9">
        <v>0</v>
      </c>
      <c r="X17" s="9"/>
      <c r="Y17" t="s">
        <v>17</v>
      </c>
      <c r="Z17" s="50" t="s">
        <v>17</v>
      </c>
      <c r="AA17" s="12"/>
      <c r="AB17" s="9">
        <v>1</v>
      </c>
      <c r="AC17" s="9"/>
      <c r="AD17" s="13"/>
      <c r="AE17" s="12">
        <v>1</v>
      </c>
      <c r="AF17" s="9"/>
      <c r="AG17" s="12"/>
      <c r="AH17" s="9" t="s">
        <v>160</v>
      </c>
      <c r="AI17" s="9">
        <v>3</v>
      </c>
      <c r="AJ17" s="12" t="s">
        <v>116</v>
      </c>
      <c r="AK17" s="9"/>
      <c r="AL17" s="9" t="s">
        <v>161</v>
      </c>
      <c r="AM17" s="9" t="s">
        <v>161</v>
      </c>
      <c r="AN17" s="15" t="s">
        <v>166</v>
      </c>
      <c r="AO17" s="15" t="s">
        <v>158</v>
      </c>
      <c r="AP17" s="16" t="s">
        <v>150</v>
      </c>
      <c r="AQ17" s="9" t="s">
        <v>120</v>
      </c>
      <c r="AR17" s="9">
        <v>3.09</v>
      </c>
      <c r="AS17" s="9" t="s">
        <v>120</v>
      </c>
      <c r="AT17" s="9">
        <v>3.13</v>
      </c>
      <c r="AU17" s="9" t="s">
        <v>121</v>
      </c>
      <c r="AV17" s="23">
        <v>1</v>
      </c>
      <c r="AW17" s="18">
        <v>7.7149999999999999</v>
      </c>
      <c r="AX17" s="19" t="s">
        <v>122</v>
      </c>
      <c r="AY17" s="19">
        <v>0</v>
      </c>
      <c r="AZ17" s="20" t="s">
        <v>122</v>
      </c>
      <c r="BA17" s="20">
        <v>1</v>
      </c>
      <c r="BB17" s="19" t="s">
        <v>122</v>
      </c>
      <c r="BC17" s="21" t="s">
        <v>122</v>
      </c>
      <c r="BD17" s="9" t="s">
        <v>154</v>
      </c>
      <c r="BE17" s="9">
        <v>1</v>
      </c>
      <c r="BF17" s="9">
        <v>51.5</v>
      </c>
      <c r="BG17" s="9">
        <v>0.1</v>
      </c>
      <c r="BH17" s="9">
        <v>16.3</v>
      </c>
      <c r="BI17" s="9">
        <v>9.4</v>
      </c>
      <c r="BJ17" s="9">
        <v>0.5</v>
      </c>
      <c r="BK17" s="9">
        <v>22.2</v>
      </c>
      <c r="BL17" s="22">
        <v>0.16113329118531827</v>
      </c>
      <c r="BM17" s="19">
        <v>1.2257889746715429</v>
      </c>
      <c r="BN17" s="19">
        <v>1.0375672872426693</v>
      </c>
      <c r="BO17" s="19">
        <v>8.1766757029339399</v>
      </c>
      <c r="BP17" s="20">
        <v>1</v>
      </c>
      <c r="BQ17" s="20">
        <v>3</v>
      </c>
      <c r="BR17" s="20">
        <v>1</v>
      </c>
      <c r="BS17" s="20">
        <v>1</v>
      </c>
      <c r="BT17" s="20" t="s">
        <v>146</v>
      </c>
    </row>
    <row r="18" spans="1:72" ht="16" x14ac:dyDescent="0.25">
      <c r="A18" t="s">
        <v>233</v>
      </c>
      <c r="B18">
        <v>321</v>
      </c>
      <c r="C18" t="s">
        <v>18</v>
      </c>
      <c r="K18" s="9"/>
      <c r="L18" s="9" t="s">
        <v>167</v>
      </c>
      <c r="M18" s="9" t="s">
        <v>168</v>
      </c>
      <c r="N18" s="9"/>
      <c r="O18" s="9"/>
      <c r="P18" s="9">
        <v>1</v>
      </c>
      <c r="Q18" s="10">
        <v>1</v>
      </c>
      <c r="R18" s="11">
        <v>1</v>
      </c>
      <c r="S18" s="9">
        <v>0</v>
      </c>
      <c r="T18" s="9"/>
      <c r="U18" s="9"/>
      <c r="V18" s="9">
        <v>0</v>
      </c>
      <c r="W18" s="9">
        <v>0</v>
      </c>
      <c r="X18" s="9"/>
      <c r="Y18" t="s">
        <v>18</v>
      </c>
      <c r="Z18" s="50" t="s">
        <v>18</v>
      </c>
      <c r="AA18" s="12"/>
      <c r="AB18" s="9">
        <v>1</v>
      </c>
      <c r="AC18" s="9"/>
      <c r="AD18" s="13"/>
      <c r="AE18" s="12">
        <v>1</v>
      </c>
      <c r="AF18" s="9"/>
      <c r="AG18" s="12"/>
      <c r="AH18" s="9" t="s">
        <v>160</v>
      </c>
      <c r="AI18" s="9">
        <v>4</v>
      </c>
      <c r="AJ18" s="12" t="s">
        <v>135</v>
      </c>
      <c r="AK18" s="9"/>
      <c r="AL18" s="9" t="s">
        <v>116</v>
      </c>
      <c r="AM18" s="9" t="s">
        <v>116</v>
      </c>
      <c r="AN18" s="15" t="s">
        <v>169</v>
      </c>
      <c r="AO18" s="15" t="s">
        <v>118</v>
      </c>
      <c r="AP18" s="16" t="s">
        <v>150</v>
      </c>
      <c r="AQ18" s="9" t="s">
        <v>141</v>
      </c>
      <c r="AR18" s="9">
        <v>3.77</v>
      </c>
      <c r="AS18" s="9" t="s">
        <v>129</v>
      </c>
      <c r="AT18" s="9">
        <v>3.65</v>
      </c>
      <c r="AU18" s="9" t="s">
        <v>144</v>
      </c>
      <c r="AV18" s="23">
        <v>2</v>
      </c>
      <c r="AW18" s="18">
        <v>0</v>
      </c>
      <c r="AX18" s="19">
        <v>22.019935920887477</v>
      </c>
      <c r="AY18" s="19">
        <v>44.395374063710335</v>
      </c>
      <c r="AZ18" s="20">
        <v>2</v>
      </c>
      <c r="BA18" s="20">
        <v>2</v>
      </c>
      <c r="BB18" s="19">
        <v>22.375438142822858</v>
      </c>
      <c r="BC18" s="21" t="s">
        <v>138</v>
      </c>
      <c r="BD18" s="9" t="s">
        <v>131</v>
      </c>
      <c r="BE18" s="9">
        <v>1</v>
      </c>
      <c r="BF18" s="9">
        <v>11.5</v>
      </c>
      <c r="BG18" s="9">
        <v>17.5</v>
      </c>
      <c r="BH18" s="9">
        <v>15.8</v>
      </c>
      <c r="BI18" s="9">
        <v>19.3</v>
      </c>
      <c r="BJ18" s="9">
        <v>0</v>
      </c>
      <c r="BK18" s="9">
        <v>35.9</v>
      </c>
      <c r="BL18" s="22">
        <v>12.654500950822303</v>
      </c>
      <c r="BM18" s="19">
        <v>13.222484207742719</v>
      </c>
      <c r="BN18" s="19">
        <v>9.0028820996818339</v>
      </c>
      <c r="BO18" s="19">
        <v>4.9369385881912908</v>
      </c>
      <c r="BP18" s="20">
        <v>4</v>
      </c>
      <c r="BQ18" s="20">
        <v>2</v>
      </c>
      <c r="BR18" s="20">
        <v>4</v>
      </c>
      <c r="BS18" s="20">
        <v>3</v>
      </c>
      <c r="BT18" s="20" t="s">
        <v>164</v>
      </c>
    </row>
    <row r="19" spans="1:72" ht="16" x14ac:dyDescent="0.25">
      <c r="A19" t="s">
        <v>234</v>
      </c>
      <c r="B19">
        <v>643</v>
      </c>
      <c r="C19" t="s">
        <v>19</v>
      </c>
      <c r="K19" s="9">
        <v>1</v>
      </c>
      <c r="L19" s="9" t="s">
        <v>133</v>
      </c>
      <c r="M19" s="9"/>
      <c r="N19" s="9">
        <v>1</v>
      </c>
      <c r="O19" s="9">
        <v>1</v>
      </c>
      <c r="P19" s="9"/>
      <c r="Q19" s="10"/>
      <c r="R19" s="11"/>
      <c r="S19" s="9">
        <v>0</v>
      </c>
      <c r="T19" s="9"/>
      <c r="U19" s="9"/>
      <c r="V19" s="9">
        <v>0</v>
      </c>
      <c r="W19" s="9">
        <v>0</v>
      </c>
      <c r="X19" s="9"/>
      <c r="Y19" t="s">
        <v>19</v>
      </c>
      <c r="Z19" s="50" t="s">
        <v>19</v>
      </c>
      <c r="AA19" s="12"/>
      <c r="AB19" s="9">
        <v>1</v>
      </c>
      <c r="AC19" s="9"/>
      <c r="AD19" s="13"/>
      <c r="AE19" s="12">
        <v>0</v>
      </c>
      <c r="AF19" s="9">
        <v>0</v>
      </c>
      <c r="AG19" s="12"/>
      <c r="AH19" s="9">
        <v>1</v>
      </c>
      <c r="AI19" s="9">
        <v>1</v>
      </c>
      <c r="AJ19" s="12" t="s">
        <v>170</v>
      </c>
      <c r="AK19" s="9"/>
      <c r="AL19" s="9" t="s">
        <v>170</v>
      </c>
      <c r="AM19" s="9" t="s">
        <v>170</v>
      </c>
      <c r="AN19" s="15" t="s">
        <v>170</v>
      </c>
      <c r="AO19" s="15" t="s">
        <v>122</v>
      </c>
      <c r="AP19" s="16" t="s">
        <v>122</v>
      </c>
      <c r="AQ19" s="9" t="s">
        <v>170</v>
      </c>
      <c r="AR19" s="9">
        <v>2.08</v>
      </c>
      <c r="AS19" s="9" t="s">
        <v>122</v>
      </c>
      <c r="AT19" s="9">
        <v>1.69</v>
      </c>
      <c r="AU19" s="9" t="s">
        <v>122</v>
      </c>
      <c r="AV19" s="25" t="s">
        <v>122</v>
      </c>
      <c r="AW19" s="18" t="s">
        <v>122</v>
      </c>
      <c r="AX19" s="19">
        <v>58.567850439632082</v>
      </c>
      <c r="AY19" s="19" t="s">
        <v>122</v>
      </c>
      <c r="AZ19" s="20">
        <v>4</v>
      </c>
      <c r="BA19" s="20" t="s">
        <v>122</v>
      </c>
      <c r="BB19" s="19" t="s">
        <v>122</v>
      </c>
      <c r="BC19" s="21" t="s">
        <v>122</v>
      </c>
      <c r="BD19" s="9" t="s">
        <v>131</v>
      </c>
      <c r="BE19" s="9">
        <v>0</v>
      </c>
      <c r="BF19" s="9">
        <v>4</v>
      </c>
      <c r="BG19" s="9">
        <v>0</v>
      </c>
      <c r="BH19" s="9">
        <v>17.399999999999999</v>
      </c>
      <c r="BI19" s="9">
        <v>60.1</v>
      </c>
      <c r="BJ19" s="9">
        <v>0</v>
      </c>
      <c r="BK19" s="9">
        <v>18.399999999999999</v>
      </c>
      <c r="BL19" s="22">
        <v>50.736392525990148</v>
      </c>
      <c r="BM19" s="19">
        <v>8.8646737464958072</v>
      </c>
      <c r="BN19" s="19" t="s">
        <v>122</v>
      </c>
      <c r="BO19" s="19" t="s">
        <v>122</v>
      </c>
      <c r="BP19" s="20">
        <v>3</v>
      </c>
      <c r="BQ19" s="20" t="s">
        <v>122</v>
      </c>
      <c r="BR19" s="20">
        <v>4</v>
      </c>
      <c r="BS19" s="20" t="s">
        <v>122</v>
      </c>
      <c r="BT19" s="20" t="s">
        <v>122</v>
      </c>
    </row>
    <row r="20" spans="1:72" ht="16" x14ac:dyDescent="0.25">
      <c r="A20" t="s">
        <v>225</v>
      </c>
      <c r="B20">
        <v>644</v>
      </c>
      <c r="C20" t="s">
        <v>20</v>
      </c>
      <c r="K20" s="9">
        <v>1</v>
      </c>
      <c r="L20" s="9" t="s">
        <v>133</v>
      </c>
      <c r="M20" s="9"/>
      <c r="N20" s="9"/>
      <c r="O20" s="9">
        <v>1</v>
      </c>
      <c r="P20" s="9"/>
      <c r="Q20" s="10"/>
      <c r="R20" s="11"/>
      <c r="S20" s="9">
        <v>1</v>
      </c>
      <c r="T20" s="9">
        <v>1</v>
      </c>
      <c r="U20" s="9">
        <v>2</v>
      </c>
      <c r="V20" s="9">
        <v>1</v>
      </c>
      <c r="W20" s="9">
        <v>1</v>
      </c>
      <c r="X20" s="9"/>
      <c r="Y20" t="s">
        <v>20</v>
      </c>
      <c r="Z20" s="50" t="s">
        <v>20</v>
      </c>
      <c r="AA20" s="12">
        <v>1</v>
      </c>
      <c r="AB20" s="9">
        <v>1</v>
      </c>
      <c r="AC20" s="9">
        <v>2004</v>
      </c>
      <c r="AD20" s="24">
        <v>1</v>
      </c>
      <c r="AE20" s="12">
        <v>1</v>
      </c>
      <c r="AF20" s="9"/>
      <c r="AG20" s="12">
        <v>1</v>
      </c>
      <c r="AH20" s="9">
        <v>1</v>
      </c>
      <c r="AI20" s="9">
        <v>1</v>
      </c>
      <c r="AJ20" s="12" t="s">
        <v>126</v>
      </c>
      <c r="AK20" s="9"/>
      <c r="AL20" s="9" t="s">
        <v>161</v>
      </c>
      <c r="AM20" s="9" t="s">
        <v>161</v>
      </c>
      <c r="AN20" s="15" t="s">
        <v>165</v>
      </c>
      <c r="AO20" s="15" t="s">
        <v>158</v>
      </c>
      <c r="AP20" s="16" t="s">
        <v>150</v>
      </c>
      <c r="AQ20" s="9" t="s">
        <v>129</v>
      </c>
      <c r="AR20" s="9">
        <v>3.44</v>
      </c>
      <c r="AS20" s="9" t="s">
        <v>120</v>
      </c>
      <c r="AT20" s="9">
        <v>3.15</v>
      </c>
      <c r="AU20" s="9" t="s">
        <v>144</v>
      </c>
      <c r="AV20" s="23">
        <v>2.6666666666666665</v>
      </c>
      <c r="AW20" s="18">
        <v>0</v>
      </c>
      <c r="AX20" s="19">
        <v>39.414107506735583</v>
      </c>
      <c r="AY20" s="19">
        <v>47.113550443694997</v>
      </c>
      <c r="AZ20" s="20">
        <v>4</v>
      </c>
      <c r="BA20" s="20">
        <v>3</v>
      </c>
      <c r="BB20" s="19">
        <v>7.6994429369594144</v>
      </c>
      <c r="BC20" s="21" t="s">
        <v>130</v>
      </c>
      <c r="BD20" s="9" t="s">
        <v>131</v>
      </c>
      <c r="BE20" s="9">
        <v>1</v>
      </c>
      <c r="BF20" s="9">
        <v>29.5</v>
      </c>
      <c r="BG20" s="9">
        <v>16.399999999999999</v>
      </c>
      <c r="BH20" s="9">
        <v>12.4</v>
      </c>
      <c r="BI20" s="9">
        <v>31.4</v>
      </c>
      <c r="BJ20" s="9">
        <v>0</v>
      </c>
      <c r="BK20" s="9">
        <v>10.199999999999999</v>
      </c>
      <c r="BL20" s="22">
        <v>6.299981245928354</v>
      </c>
      <c r="BM20" s="19">
        <v>5.0190610695386644</v>
      </c>
      <c r="BN20" s="19">
        <v>7.4629417042542014</v>
      </c>
      <c r="BO20" s="19">
        <v>7.6004252100983489</v>
      </c>
      <c r="BP20" s="20">
        <v>2</v>
      </c>
      <c r="BQ20" s="20">
        <v>2</v>
      </c>
      <c r="BR20" s="20">
        <v>3</v>
      </c>
      <c r="BS20" s="20">
        <v>3</v>
      </c>
      <c r="BT20" s="20" t="s">
        <v>143</v>
      </c>
    </row>
    <row r="21" spans="1:72" ht="16" x14ac:dyDescent="0.25">
      <c r="A21" t="s">
        <v>226</v>
      </c>
      <c r="B21">
        <v>648</v>
      </c>
      <c r="C21" t="s">
        <v>21</v>
      </c>
      <c r="G21" t="s">
        <v>21</v>
      </c>
      <c r="K21" s="9">
        <v>1</v>
      </c>
      <c r="L21" s="9" t="s">
        <v>133</v>
      </c>
      <c r="M21" s="9"/>
      <c r="N21" s="9"/>
      <c r="O21" s="9"/>
      <c r="P21" s="9"/>
      <c r="Q21" s="10"/>
      <c r="R21" s="11"/>
      <c r="S21" s="9">
        <v>1</v>
      </c>
      <c r="T21" s="9">
        <v>1</v>
      </c>
      <c r="U21" s="9">
        <v>4</v>
      </c>
      <c r="V21" s="9">
        <v>1</v>
      </c>
      <c r="W21" s="9">
        <v>1</v>
      </c>
      <c r="X21" s="9"/>
      <c r="Y21" t="s">
        <v>21</v>
      </c>
      <c r="Z21" t="s">
        <v>21</v>
      </c>
      <c r="AA21" s="12">
        <v>1</v>
      </c>
      <c r="AB21" s="9">
        <v>1</v>
      </c>
      <c r="AC21" s="9">
        <v>2007</v>
      </c>
      <c r="AD21" s="13">
        <v>1</v>
      </c>
      <c r="AE21" s="12">
        <v>1</v>
      </c>
      <c r="AF21" s="9"/>
      <c r="AG21" s="12"/>
      <c r="AH21" s="9">
        <v>1</v>
      </c>
      <c r="AI21" s="9">
        <v>1</v>
      </c>
      <c r="AJ21" s="12" t="s">
        <v>161</v>
      </c>
      <c r="AK21" s="9" t="s">
        <v>116</v>
      </c>
      <c r="AL21" s="9" t="s">
        <v>116</v>
      </c>
      <c r="AM21" s="9" t="s">
        <v>116</v>
      </c>
      <c r="AN21" s="15" t="s">
        <v>136</v>
      </c>
      <c r="AO21" s="15" t="s">
        <v>158</v>
      </c>
      <c r="AP21" s="16" t="s">
        <v>119</v>
      </c>
      <c r="AQ21" s="9" t="s">
        <v>120</v>
      </c>
      <c r="AR21" s="9">
        <v>3.35</v>
      </c>
      <c r="AS21" s="9" t="s">
        <v>129</v>
      </c>
      <c r="AT21" s="9">
        <v>3.13</v>
      </c>
      <c r="AU21" s="9" t="s">
        <v>163</v>
      </c>
      <c r="AV21" s="23">
        <v>2.157142857142857</v>
      </c>
      <c r="AW21" s="18">
        <v>0</v>
      </c>
      <c r="AX21" s="19">
        <v>29.104850643871814</v>
      </c>
      <c r="AY21" s="19">
        <v>43.140445161272254</v>
      </c>
      <c r="AZ21" s="20">
        <v>3</v>
      </c>
      <c r="BA21" s="20">
        <v>2</v>
      </c>
      <c r="BB21" s="19">
        <v>14.03559451740044</v>
      </c>
      <c r="BC21" s="21" t="s">
        <v>130</v>
      </c>
      <c r="BD21" s="9" t="s">
        <v>131</v>
      </c>
      <c r="BE21" s="9">
        <v>0</v>
      </c>
      <c r="BF21" s="9">
        <v>1.5</v>
      </c>
      <c r="BG21" s="9">
        <v>4.9000000000000004</v>
      </c>
      <c r="BH21" s="9">
        <v>28.5</v>
      </c>
      <c r="BI21" s="9">
        <v>14.2</v>
      </c>
      <c r="BJ21" s="9">
        <v>0</v>
      </c>
      <c r="BK21" s="9">
        <v>50.9</v>
      </c>
      <c r="BL21" s="22">
        <v>19.347516895028104</v>
      </c>
      <c r="BM21" s="19">
        <v>40.05226312875488</v>
      </c>
      <c r="BN21" s="19">
        <v>18.145686797944382</v>
      </c>
      <c r="BO21" s="19">
        <v>14.638146146407511</v>
      </c>
      <c r="BP21" s="20">
        <v>4</v>
      </c>
      <c r="BQ21" s="20">
        <v>4</v>
      </c>
      <c r="BR21" s="20">
        <v>4</v>
      </c>
      <c r="BS21" s="20">
        <v>4</v>
      </c>
      <c r="BT21" s="20" t="s">
        <v>132</v>
      </c>
    </row>
    <row r="22" spans="1:72" ht="16" x14ac:dyDescent="0.25">
      <c r="A22" t="s">
        <v>227</v>
      </c>
      <c r="B22">
        <v>652</v>
      </c>
      <c r="C22" t="s">
        <v>22</v>
      </c>
      <c r="K22" s="9">
        <v>1</v>
      </c>
      <c r="L22" s="9" t="s">
        <v>133</v>
      </c>
      <c r="M22" s="9"/>
      <c r="N22" s="9">
        <v>1</v>
      </c>
      <c r="O22" s="9"/>
      <c r="P22" s="9"/>
      <c r="Q22" s="10"/>
      <c r="R22" s="11"/>
      <c r="S22" s="9">
        <v>1</v>
      </c>
      <c r="T22" s="9">
        <v>1</v>
      </c>
      <c r="U22" s="9">
        <v>3</v>
      </c>
      <c r="V22" s="9">
        <v>1</v>
      </c>
      <c r="W22" s="9">
        <v>1</v>
      </c>
      <c r="X22" s="9"/>
      <c r="Y22" t="s">
        <v>22</v>
      </c>
      <c r="Z22" s="50" t="s">
        <v>22</v>
      </c>
      <c r="AA22" s="12">
        <v>1</v>
      </c>
      <c r="AB22" s="9">
        <v>1</v>
      </c>
      <c r="AC22" s="9">
        <v>2004</v>
      </c>
      <c r="AD22" s="24">
        <v>1</v>
      </c>
      <c r="AE22" s="12"/>
      <c r="AF22" s="9">
        <v>1</v>
      </c>
      <c r="AG22" s="12">
        <v>1</v>
      </c>
      <c r="AH22" s="9" t="s">
        <v>160</v>
      </c>
      <c r="AI22" s="9">
        <v>3</v>
      </c>
      <c r="AJ22" s="12" t="s">
        <v>135</v>
      </c>
      <c r="AK22" s="9"/>
      <c r="AL22" s="9" t="s">
        <v>116</v>
      </c>
      <c r="AM22" s="9" t="s">
        <v>116</v>
      </c>
      <c r="AN22" s="15" t="s">
        <v>171</v>
      </c>
      <c r="AO22" s="15" t="s">
        <v>158</v>
      </c>
      <c r="AP22" s="16" t="s">
        <v>150</v>
      </c>
      <c r="AQ22" s="9" t="s">
        <v>141</v>
      </c>
      <c r="AR22" s="9">
        <v>3.8</v>
      </c>
      <c r="AS22" s="9" t="s">
        <v>129</v>
      </c>
      <c r="AT22" s="9">
        <v>3.41</v>
      </c>
      <c r="AU22" s="9" t="s">
        <v>144</v>
      </c>
      <c r="AV22" s="23">
        <v>2</v>
      </c>
      <c r="AW22" s="18">
        <v>1.5200000000000031</v>
      </c>
      <c r="AX22" s="19">
        <v>27.196518373564089</v>
      </c>
      <c r="AY22" s="19">
        <v>51.453544519797049</v>
      </c>
      <c r="AZ22" s="20">
        <v>3</v>
      </c>
      <c r="BA22" s="20">
        <v>3</v>
      </c>
      <c r="BB22" s="19">
        <v>24.25702614623296</v>
      </c>
      <c r="BC22" s="21" t="s">
        <v>138</v>
      </c>
      <c r="BD22" s="9" t="s">
        <v>159</v>
      </c>
      <c r="BE22" s="9">
        <v>1</v>
      </c>
      <c r="BF22" s="9">
        <v>11.1</v>
      </c>
      <c r="BG22" s="9">
        <v>50.5</v>
      </c>
      <c r="BH22" s="9">
        <v>9.4</v>
      </c>
      <c r="BI22" s="9">
        <v>20.7</v>
      </c>
      <c r="BJ22" s="9">
        <v>0.5</v>
      </c>
      <c r="BK22" s="9">
        <v>7.7</v>
      </c>
      <c r="BL22" s="22">
        <v>9.994659201792782</v>
      </c>
      <c r="BM22" s="19">
        <v>13.448004148598097</v>
      </c>
      <c r="BN22" s="19">
        <v>15.926850089118272</v>
      </c>
      <c r="BO22" s="19">
        <v>30.869003137197414</v>
      </c>
      <c r="BP22" s="20">
        <v>4</v>
      </c>
      <c r="BQ22" s="20">
        <v>4</v>
      </c>
      <c r="BR22" s="20">
        <v>4</v>
      </c>
      <c r="BS22" s="20">
        <v>4</v>
      </c>
      <c r="BT22" s="20" t="s">
        <v>132</v>
      </c>
    </row>
    <row r="23" spans="1:72" ht="16" x14ac:dyDescent="0.25">
      <c r="A23" t="s">
        <v>235</v>
      </c>
      <c r="B23">
        <v>328</v>
      </c>
      <c r="C23" t="s">
        <v>23</v>
      </c>
      <c r="K23" s="9"/>
      <c r="L23" s="9" t="s">
        <v>167</v>
      </c>
      <c r="M23" s="9" t="s">
        <v>168</v>
      </c>
      <c r="N23" s="9"/>
      <c r="O23" s="9"/>
      <c r="P23" s="9">
        <v>1</v>
      </c>
      <c r="Q23" s="10">
        <v>1</v>
      </c>
      <c r="R23" s="11">
        <v>1</v>
      </c>
      <c r="S23" s="9">
        <v>1</v>
      </c>
      <c r="T23" s="9"/>
      <c r="U23" s="9">
        <v>3</v>
      </c>
      <c r="V23" s="9">
        <v>1</v>
      </c>
      <c r="W23" s="9">
        <v>1</v>
      </c>
      <c r="X23" s="9"/>
      <c r="Y23" t="s">
        <v>23</v>
      </c>
      <c r="Z23" s="50" t="s">
        <v>23</v>
      </c>
      <c r="AA23" s="12"/>
      <c r="AB23" s="9">
        <v>1</v>
      </c>
      <c r="AC23" s="9"/>
      <c r="AD23" s="13">
        <v>1</v>
      </c>
      <c r="AE23" s="12">
        <v>1</v>
      </c>
      <c r="AF23" s="9"/>
      <c r="AG23" s="12"/>
      <c r="AH23" s="9" t="s">
        <v>160</v>
      </c>
      <c r="AI23" s="9">
        <v>4</v>
      </c>
      <c r="AJ23" s="12"/>
      <c r="AK23" s="9"/>
      <c r="AL23" s="9" t="s">
        <v>161</v>
      </c>
      <c r="AM23" s="9" t="s">
        <v>161</v>
      </c>
      <c r="AN23" s="15" t="s">
        <v>148</v>
      </c>
      <c r="AO23" s="15" t="s">
        <v>158</v>
      </c>
      <c r="AP23" s="16" t="s">
        <v>150</v>
      </c>
      <c r="AQ23" s="9" t="s">
        <v>129</v>
      </c>
      <c r="AR23" s="9">
        <v>3.65</v>
      </c>
      <c r="AS23" s="9" t="s">
        <v>129</v>
      </c>
      <c r="AT23" s="9">
        <v>3.73</v>
      </c>
      <c r="AU23" s="9" t="s">
        <v>121</v>
      </c>
      <c r="AV23" s="23">
        <v>12.64</v>
      </c>
      <c r="AW23" s="18">
        <v>0.60000000000000142</v>
      </c>
      <c r="AX23" s="19">
        <v>43.147637748526016</v>
      </c>
      <c r="AY23" s="19">
        <v>39.200247940311598</v>
      </c>
      <c r="AZ23" s="20">
        <v>4</v>
      </c>
      <c r="BA23" s="20">
        <v>2</v>
      </c>
      <c r="BB23" s="19">
        <v>-3.9473898082144174</v>
      </c>
      <c r="BC23" s="21" t="s">
        <v>151</v>
      </c>
      <c r="BD23" s="9" t="s">
        <v>131</v>
      </c>
      <c r="BE23" s="9">
        <v>0</v>
      </c>
      <c r="BF23" s="9">
        <v>1.7</v>
      </c>
      <c r="BG23" s="9">
        <v>27.6</v>
      </c>
      <c r="BH23" s="9">
        <v>16.2</v>
      </c>
      <c r="BI23" s="9">
        <v>26.3</v>
      </c>
      <c r="BJ23" s="9">
        <v>0</v>
      </c>
      <c r="BK23" s="9">
        <v>28.2</v>
      </c>
      <c r="BL23" s="22" t="s">
        <v>122</v>
      </c>
      <c r="BM23" s="19">
        <v>5.7906705751303251</v>
      </c>
      <c r="BN23" s="19">
        <v>5.5071349262204121</v>
      </c>
      <c r="BO23" s="19">
        <v>8.4868001094942809</v>
      </c>
      <c r="BP23" s="20">
        <v>2</v>
      </c>
      <c r="BQ23" s="20">
        <v>3</v>
      </c>
      <c r="BR23" s="20" t="s">
        <v>122</v>
      </c>
      <c r="BS23" s="20">
        <v>2</v>
      </c>
      <c r="BT23" s="20" t="s">
        <v>139</v>
      </c>
    </row>
    <row r="24" spans="1:72" ht="16" x14ac:dyDescent="0.25">
      <c r="A24" t="s">
        <v>236</v>
      </c>
      <c r="B24">
        <v>656</v>
      </c>
      <c r="C24" t="s">
        <v>24</v>
      </c>
      <c r="K24" s="9">
        <v>1</v>
      </c>
      <c r="L24" s="9" t="s">
        <v>133</v>
      </c>
      <c r="M24" s="9"/>
      <c r="N24" s="9">
        <v>1</v>
      </c>
      <c r="O24" s="9"/>
      <c r="P24" s="9"/>
      <c r="Q24" s="10"/>
      <c r="R24" s="11"/>
      <c r="S24" s="9">
        <v>1</v>
      </c>
      <c r="T24" s="9"/>
      <c r="U24" s="9">
        <v>3</v>
      </c>
      <c r="V24" s="9">
        <v>1</v>
      </c>
      <c r="W24" s="9">
        <v>1</v>
      </c>
      <c r="X24" s="9"/>
      <c r="Y24" t="s">
        <v>24</v>
      </c>
      <c r="Z24" s="50" t="s">
        <v>24</v>
      </c>
      <c r="AA24" s="12">
        <v>1</v>
      </c>
      <c r="AB24" s="9">
        <v>1</v>
      </c>
      <c r="AC24" s="9">
        <v>2012</v>
      </c>
      <c r="AD24" s="13"/>
      <c r="AE24" s="12">
        <v>1</v>
      </c>
      <c r="AF24" s="9"/>
      <c r="AG24" s="12"/>
      <c r="AH24" s="9">
        <v>1</v>
      </c>
      <c r="AI24" s="9">
        <v>2</v>
      </c>
      <c r="AJ24" s="12" t="s">
        <v>161</v>
      </c>
      <c r="AK24" s="9" t="s">
        <v>135</v>
      </c>
      <c r="AL24" s="9" t="s">
        <v>135</v>
      </c>
      <c r="AM24" s="9" t="s">
        <v>135</v>
      </c>
      <c r="AN24" s="15" t="s">
        <v>169</v>
      </c>
      <c r="AO24" s="15" t="s">
        <v>118</v>
      </c>
      <c r="AP24" s="16" t="s">
        <v>137</v>
      </c>
      <c r="AQ24" s="9" t="s">
        <v>120</v>
      </c>
      <c r="AR24" s="9">
        <v>2.97</v>
      </c>
      <c r="AS24" s="9" t="s">
        <v>120</v>
      </c>
      <c r="AT24" s="9">
        <v>3.39</v>
      </c>
      <c r="AU24" s="9" t="s">
        <v>121</v>
      </c>
      <c r="AV24" s="23">
        <v>1.7142857142857144</v>
      </c>
      <c r="AW24" s="18">
        <v>1.1271428571428572</v>
      </c>
      <c r="AX24" s="19">
        <v>21.29340334173186</v>
      </c>
      <c r="AY24" s="19">
        <v>58.061770970867393</v>
      </c>
      <c r="AZ24" s="20">
        <v>2</v>
      </c>
      <c r="BA24" s="20">
        <v>4</v>
      </c>
      <c r="BB24" s="19">
        <v>36.768367629135533</v>
      </c>
      <c r="BC24" s="21" t="s">
        <v>145</v>
      </c>
      <c r="BD24" s="9" t="s">
        <v>131</v>
      </c>
      <c r="BE24" s="9">
        <v>1</v>
      </c>
      <c r="BF24" s="9">
        <v>37.200000000000003</v>
      </c>
      <c r="BG24" s="9">
        <v>1.1000000000000001</v>
      </c>
      <c r="BH24" s="9">
        <v>22.9</v>
      </c>
      <c r="BI24" s="9">
        <v>15.3</v>
      </c>
      <c r="BJ24" s="9">
        <v>0</v>
      </c>
      <c r="BK24" s="9">
        <v>23.5</v>
      </c>
      <c r="BL24" s="22">
        <v>8.9196398292214223</v>
      </c>
      <c r="BM24" s="19">
        <v>20.175669794725003</v>
      </c>
      <c r="BN24" s="19">
        <v>3.0649839536813031</v>
      </c>
      <c r="BO24" s="19">
        <v>7.9014009393503626</v>
      </c>
      <c r="BP24" s="20">
        <v>4</v>
      </c>
      <c r="BQ24" s="20">
        <v>3</v>
      </c>
      <c r="BR24" s="20">
        <v>4</v>
      </c>
      <c r="BS24" s="20">
        <v>1</v>
      </c>
      <c r="BT24" s="20" t="s">
        <v>164</v>
      </c>
    </row>
    <row r="25" spans="1:72" ht="16" x14ac:dyDescent="0.25">
      <c r="A25" t="s">
        <v>237</v>
      </c>
      <c r="B25">
        <v>654</v>
      </c>
      <c r="C25" t="s">
        <v>25</v>
      </c>
      <c r="K25" s="9">
        <v>1</v>
      </c>
      <c r="L25" s="9" t="s">
        <v>133</v>
      </c>
      <c r="M25" s="9" t="s">
        <v>134</v>
      </c>
      <c r="N25" s="9">
        <v>1</v>
      </c>
      <c r="O25" s="9">
        <v>1</v>
      </c>
      <c r="P25" s="9"/>
      <c r="Q25" s="10">
        <v>1</v>
      </c>
      <c r="R25" s="11">
        <v>1</v>
      </c>
      <c r="S25" s="9">
        <v>1</v>
      </c>
      <c r="T25" s="9">
        <v>1</v>
      </c>
      <c r="U25" s="9">
        <v>3</v>
      </c>
      <c r="V25" s="9">
        <v>1</v>
      </c>
      <c r="W25" s="9">
        <v>1</v>
      </c>
      <c r="X25" s="9"/>
      <c r="Y25" t="s">
        <v>25</v>
      </c>
      <c r="Z25" s="50" t="s">
        <v>25</v>
      </c>
      <c r="AA25" s="12">
        <v>1</v>
      </c>
      <c r="AB25" s="9">
        <v>1</v>
      </c>
      <c r="AC25" s="9">
        <v>2010</v>
      </c>
      <c r="AD25" s="13"/>
      <c r="AE25" s="12">
        <v>1</v>
      </c>
      <c r="AF25" s="9"/>
      <c r="AG25" s="12"/>
      <c r="AH25" s="9">
        <v>1</v>
      </c>
      <c r="AI25" s="9">
        <v>1</v>
      </c>
      <c r="AJ25" s="12" t="s">
        <v>161</v>
      </c>
      <c r="AK25" s="9" t="s">
        <v>135</v>
      </c>
      <c r="AL25" s="9" t="s">
        <v>116</v>
      </c>
      <c r="AM25" s="9" t="s">
        <v>116</v>
      </c>
      <c r="AN25" s="15" t="s">
        <v>136</v>
      </c>
      <c r="AO25" s="15" t="s">
        <v>118</v>
      </c>
      <c r="AP25" s="16" t="s">
        <v>150</v>
      </c>
      <c r="AQ25" s="9" t="s">
        <v>120</v>
      </c>
      <c r="AR25" s="9">
        <v>2.62</v>
      </c>
      <c r="AS25" s="9" t="s">
        <v>120</v>
      </c>
      <c r="AT25" s="9">
        <v>2.57</v>
      </c>
      <c r="AU25" s="9" t="s">
        <v>121</v>
      </c>
      <c r="AV25" s="23">
        <v>6.1749999999999998</v>
      </c>
      <c r="AW25" s="18">
        <v>0</v>
      </c>
      <c r="AX25" s="19">
        <v>28.178617228505516</v>
      </c>
      <c r="AY25" s="19">
        <v>36.534982138484004</v>
      </c>
      <c r="AZ25" s="20">
        <v>3</v>
      </c>
      <c r="BA25" s="20">
        <v>2</v>
      </c>
      <c r="BB25" s="19">
        <v>8.3563649099784882</v>
      </c>
      <c r="BC25" s="21" t="s">
        <v>130</v>
      </c>
      <c r="BD25" s="9" t="s">
        <v>131</v>
      </c>
      <c r="BE25" s="9">
        <v>0</v>
      </c>
      <c r="BF25" s="9">
        <v>0</v>
      </c>
      <c r="BG25" s="9">
        <v>22.8</v>
      </c>
      <c r="BH25" s="9">
        <v>23.2</v>
      </c>
      <c r="BI25" s="9">
        <v>19.600000000000001</v>
      </c>
      <c r="BJ25" s="9">
        <v>0</v>
      </c>
      <c r="BK25" s="9">
        <v>34.299999999999997</v>
      </c>
      <c r="BL25" s="22">
        <v>12.806677183144622</v>
      </c>
      <c r="BM25" s="19">
        <v>12.535043190750056</v>
      </c>
      <c r="BN25" s="19">
        <v>20.149005169430943</v>
      </c>
      <c r="BO25" s="19">
        <v>16.617939269694386</v>
      </c>
      <c r="BP25" s="20">
        <v>4</v>
      </c>
      <c r="BQ25" s="20">
        <v>4</v>
      </c>
      <c r="BR25" s="20">
        <v>4</v>
      </c>
      <c r="BS25" s="20">
        <v>4</v>
      </c>
      <c r="BT25" s="20" t="s">
        <v>132</v>
      </c>
    </row>
    <row r="26" spans="1:72" ht="16" x14ac:dyDescent="0.25">
      <c r="A26" t="s">
        <v>238</v>
      </c>
      <c r="B26">
        <v>263</v>
      </c>
      <c r="C26" t="s">
        <v>26</v>
      </c>
      <c r="K26" s="9">
        <v>1</v>
      </c>
      <c r="L26" s="9" t="s">
        <v>167</v>
      </c>
      <c r="M26" s="9"/>
      <c r="N26" s="9"/>
      <c r="O26" s="9">
        <v>1</v>
      </c>
      <c r="P26" s="9"/>
      <c r="Q26" s="10"/>
      <c r="R26" s="11"/>
      <c r="S26" s="9">
        <v>1</v>
      </c>
      <c r="T26" s="9"/>
      <c r="U26" s="9">
        <v>3</v>
      </c>
      <c r="V26" s="9">
        <v>1</v>
      </c>
      <c r="W26" s="9">
        <v>1</v>
      </c>
      <c r="X26" s="9"/>
      <c r="Y26" t="s">
        <v>26</v>
      </c>
      <c r="Z26" s="50" t="s">
        <v>26</v>
      </c>
      <c r="AA26" s="12">
        <v>1</v>
      </c>
      <c r="AB26" s="9">
        <v>1</v>
      </c>
      <c r="AC26" s="9">
        <v>2009</v>
      </c>
      <c r="AD26" s="13"/>
      <c r="AE26" s="12"/>
      <c r="AF26" s="9">
        <v>1</v>
      </c>
      <c r="AG26" s="12"/>
      <c r="AH26" s="9">
        <v>1</v>
      </c>
      <c r="AI26" s="9">
        <v>2</v>
      </c>
      <c r="AJ26" s="12" t="s">
        <v>116</v>
      </c>
      <c r="AK26" s="9" t="s">
        <v>116</v>
      </c>
      <c r="AL26" s="9" t="s">
        <v>116</v>
      </c>
      <c r="AM26" s="9" t="s">
        <v>116</v>
      </c>
      <c r="AN26" s="15" t="s">
        <v>171</v>
      </c>
      <c r="AO26" s="15" t="s">
        <v>118</v>
      </c>
      <c r="AP26" s="16" t="s">
        <v>119</v>
      </c>
      <c r="AQ26" s="9" t="s">
        <v>120</v>
      </c>
      <c r="AR26" s="9">
        <v>2.9</v>
      </c>
      <c r="AS26" s="9" t="s">
        <v>129</v>
      </c>
      <c r="AT26" s="9">
        <v>2.2200000000000002</v>
      </c>
      <c r="AU26" s="9" t="s">
        <v>163</v>
      </c>
      <c r="AV26" s="23">
        <v>1.5</v>
      </c>
      <c r="AW26" s="18">
        <v>0</v>
      </c>
      <c r="AX26" s="19">
        <v>33.892600335338742</v>
      </c>
      <c r="AY26" s="19">
        <v>64.953194430086199</v>
      </c>
      <c r="AZ26" s="20">
        <v>3</v>
      </c>
      <c r="BA26" s="20">
        <v>4</v>
      </c>
      <c r="BB26" s="19">
        <v>31.060594094747458</v>
      </c>
      <c r="BC26" s="21" t="s">
        <v>145</v>
      </c>
      <c r="BD26" s="9" t="s">
        <v>123</v>
      </c>
      <c r="BE26" s="9">
        <v>0</v>
      </c>
      <c r="BF26" s="9">
        <v>0</v>
      </c>
      <c r="BG26" s="9">
        <v>2.2000000000000002</v>
      </c>
      <c r="BH26" s="9">
        <v>93.4</v>
      </c>
      <c r="BI26" s="9">
        <v>0</v>
      </c>
      <c r="BJ26" s="9">
        <v>0</v>
      </c>
      <c r="BK26" s="9">
        <v>4.4000000000000004</v>
      </c>
      <c r="BL26" s="22">
        <v>7.1887360180282638</v>
      </c>
      <c r="BM26" s="19">
        <v>7.633572767324952</v>
      </c>
      <c r="BN26" s="19">
        <v>6.400202704246567</v>
      </c>
      <c r="BO26" s="19">
        <v>1.8697475539274466</v>
      </c>
      <c r="BP26" s="20">
        <v>3</v>
      </c>
      <c r="BQ26" s="20">
        <v>1</v>
      </c>
      <c r="BR26" s="20">
        <v>3</v>
      </c>
      <c r="BS26" s="20">
        <v>3</v>
      </c>
      <c r="BT26" s="20" t="s">
        <v>164</v>
      </c>
    </row>
    <row r="27" spans="1:72" ht="16" x14ac:dyDescent="0.35">
      <c r="A27" t="s">
        <v>239</v>
      </c>
      <c r="B27">
        <v>268</v>
      </c>
      <c r="C27" t="s">
        <v>27</v>
      </c>
      <c r="K27" s="9">
        <v>1</v>
      </c>
      <c r="L27" s="9" t="s">
        <v>167</v>
      </c>
      <c r="M27" s="9"/>
      <c r="N27" s="9"/>
      <c r="O27" s="9"/>
      <c r="P27" s="9"/>
      <c r="Q27" s="10"/>
      <c r="R27" s="11"/>
      <c r="S27" s="9">
        <v>1</v>
      </c>
      <c r="T27" s="9">
        <v>1</v>
      </c>
      <c r="U27" s="9">
        <v>2</v>
      </c>
      <c r="V27" s="9">
        <v>1</v>
      </c>
      <c r="W27" s="9">
        <v>1</v>
      </c>
      <c r="X27" s="9"/>
      <c r="Y27" t="s">
        <v>27</v>
      </c>
      <c r="Z27" s="50" t="s">
        <v>27</v>
      </c>
      <c r="AA27" s="12">
        <v>1</v>
      </c>
      <c r="AB27" s="9">
        <v>1</v>
      </c>
      <c r="AC27" s="9">
        <v>2005</v>
      </c>
      <c r="AD27" s="13"/>
      <c r="AE27" s="12"/>
      <c r="AF27" s="9">
        <v>1</v>
      </c>
      <c r="AG27" s="12">
        <v>1</v>
      </c>
      <c r="AH27" s="9" t="s">
        <v>125</v>
      </c>
      <c r="AI27" s="9">
        <v>3</v>
      </c>
      <c r="AJ27" s="12" t="s">
        <v>135</v>
      </c>
      <c r="AK27" s="9"/>
      <c r="AL27" s="9" t="s">
        <v>126</v>
      </c>
      <c r="AM27" s="9" t="s">
        <v>135</v>
      </c>
      <c r="AN27" s="15" t="s">
        <v>136</v>
      </c>
      <c r="AO27" s="15" t="s">
        <v>118</v>
      </c>
      <c r="AP27" s="16" t="s">
        <v>153</v>
      </c>
      <c r="AQ27" s="9" t="s">
        <v>129</v>
      </c>
      <c r="AR27" s="9">
        <v>3.49</v>
      </c>
      <c r="AS27" s="9" t="s">
        <v>141</v>
      </c>
      <c r="AT27" s="9">
        <v>3.28</v>
      </c>
      <c r="AU27" s="9" t="s">
        <v>163</v>
      </c>
      <c r="AV27" s="23">
        <v>2</v>
      </c>
      <c r="AW27" s="26">
        <v>3.9499999999999993</v>
      </c>
      <c r="AX27" s="19">
        <v>22.812404876129278</v>
      </c>
      <c r="AY27" s="19">
        <v>42.583079957452611</v>
      </c>
      <c r="AZ27" s="20">
        <v>3</v>
      </c>
      <c r="BA27" s="20">
        <v>2</v>
      </c>
      <c r="BB27" s="19">
        <v>19.770675081323333</v>
      </c>
      <c r="BC27" s="21" t="s">
        <v>138</v>
      </c>
      <c r="BD27" s="9" t="s">
        <v>131</v>
      </c>
      <c r="BE27" s="9">
        <v>0</v>
      </c>
      <c r="BF27" s="9">
        <v>4.7</v>
      </c>
      <c r="BG27" s="9">
        <v>22.1</v>
      </c>
      <c r="BH27" s="9">
        <v>10.1</v>
      </c>
      <c r="BI27" s="9">
        <v>13.2</v>
      </c>
      <c r="BJ27" s="9">
        <v>0</v>
      </c>
      <c r="BK27" s="9">
        <v>50</v>
      </c>
      <c r="BL27" s="22">
        <v>3.0895747142898733</v>
      </c>
      <c r="BM27" s="19">
        <v>4.9751383887798877</v>
      </c>
      <c r="BN27" s="19">
        <v>8.8583616780745515</v>
      </c>
      <c r="BO27" s="19">
        <v>8.9584866624842974</v>
      </c>
      <c r="BP27" s="20">
        <v>2</v>
      </c>
      <c r="BQ27" s="20">
        <v>3</v>
      </c>
      <c r="BR27" s="20">
        <v>2</v>
      </c>
      <c r="BS27" s="20">
        <v>3</v>
      </c>
      <c r="BT27" s="20" t="s">
        <v>139</v>
      </c>
    </row>
    <row r="28" spans="1:72" ht="16" x14ac:dyDescent="0.35">
      <c r="A28" t="s">
        <v>240</v>
      </c>
      <c r="B28">
        <v>664</v>
      </c>
      <c r="C28" t="s">
        <v>28</v>
      </c>
      <c r="K28" s="9">
        <v>1</v>
      </c>
      <c r="L28" s="9" t="s">
        <v>133</v>
      </c>
      <c r="M28" s="9" t="s">
        <v>147</v>
      </c>
      <c r="N28" s="9"/>
      <c r="O28" s="9"/>
      <c r="P28" s="9"/>
      <c r="Q28" s="10">
        <v>1</v>
      </c>
      <c r="R28" s="11">
        <v>1</v>
      </c>
      <c r="S28" s="9">
        <v>1</v>
      </c>
      <c r="T28" s="9">
        <v>1</v>
      </c>
      <c r="U28" s="9">
        <v>2</v>
      </c>
      <c r="V28" s="9">
        <v>1</v>
      </c>
      <c r="W28" s="9">
        <v>1</v>
      </c>
      <c r="X28" s="9">
        <v>1</v>
      </c>
      <c r="Y28" t="s">
        <v>28</v>
      </c>
      <c r="Z28" s="50" t="s">
        <v>28</v>
      </c>
      <c r="AA28" s="12"/>
      <c r="AB28" s="9">
        <v>1</v>
      </c>
      <c r="AC28" s="9"/>
      <c r="AD28" s="13"/>
      <c r="AE28" s="12">
        <v>1</v>
      </c>
      <c r="AF28" s="9"/>
      <c r="AG28" s="12">
        <v>1</v>
      </c>
      <c r="AH28" s="9" t="s">
        <v>125</v>
      </c>
      <c r="AI28" s="9">
        <v>3</v>
      </c>
      <c r="AJ28" s="12"/>
      <c r="AK28" s="9"/>
      <c r="AL28" s="9" t="s">
        <v>116</v>
      </c>
      <c r="AM28" s="9" t="s">
        <v>116</v>
      </c>
      <c r="AN28" s="15" t="s">
        <v>172</v>
      </c>
      <c r="AO28" s="15" t="s">
        <v>118</v>
      </c>
      <c r="AP28" s="16" t="s">
        <v>150</v>
      </c>
      <c r="AQ28" s="9" t="s">
        <v>129</v>
      </c>
      <c r="AR28" s="9">
        <v>3.86</v>
      </c>
      <c r="AS28" s="9" t="s">
        <v>129</v>
      </c>
      <c r="AT28" s="9">
        <v>3.83</v>
      </c>
      <c r="AU28" s="9" t="s">
        <v>121</v>
      </c>
      <c r="AV28" s="23">
        <v>2</v>
      </c>
      <c r="AW28" s="26">
        <v>0.87999999999999545</v>
      </c>
      <c r="AX28" s="19">
        <v>43.563042952075335</v>
      </c>
      <c r="AY28" s="19">
        <v>49.198649627334049</v>
      </c>
      <c r="AZ28" s="20">
        <v>4</v>
      </c>
      <c r="BA28" s="20">
        <v>3</v>
      </c>
      <c r="BB28" s="19">
        <v>5.6356066752587139</v>
      </c>
      <c r="BC28" s="21" t="s">
        <v>130</v>
      </c>
      <c r="BD28" s="9" t="s">
        <v>131</v>
      </c>
      <c r="BE28" s="9">
        <v>1</v>
      </c>
      <c r="BF28" s="9">
        <v>21.7</v>
      </c>
      <c r="BG28" s="9">
        <v>23.2</v>
      </c>
      <c r="BH28" s="9">
        <v>11.7</v>
      </c>
      <c r="BI28" s="9">
        <v>27.9</v>
      </c>
      <c r="BJ28" s="9">
        <v>4.3</v>
      </c>
      <c r="BK28" s="9">
        <v>11.3</v>
      </c>
      <c r="BL28" s="22">
        <v>8.9080728862316718</v>
      </c>
      <c r="BM28" s="19">
        <v>11.266627189889851</v>
      </c>
      <c r="BN28" s="19">
        <v>48.382152051242286</v>
      </c>
      <c r="BO28" s="19">
        <v>31.677137095662438</v>
      </c>
      <c r="BP28" s="20">
        <v>4</v>
      </c>
      <c r="BQ28" s="20">
        <v>4</v>
      </c>
      <c r="BR28" s="20">
        <v>4</v>
      </c>
      <c r="BS28" s="20">
        <v>4</v>
      </c>
      <c r="BT28" s="20" t="s">
        <v>132</v>
      </c>
    </row>
    <row r="29" spans="1:72" ht="16" x14ac:dyDescent="0.35">
      <c r="A29" t="s">
        <v>241</v>
      </c>
      <c r="B29">
        <v>826</v>
      </c>
      <c r="C29" t="s">
        <v>29</v>
      </c>
      <c r="E29" t="s">
        <v>122</v>
      </c>
      <c r="K29" s="9">
        <v>1</v>
      </c>
      <c r="L29" s="9" t="s">
        <v>124</v>
      </c>
      <c r="M29" s="9"/>
      <c r="N29" s="9">
        <v>1</v>
      </c>
      <c r="O29" s="9">
        <v>1</v>
      </c>
      <c r="P29" s="9">
        <v>1</v>
      </c>
      <c r="Q29" s="10"/>
      <c r="R29" s="11"/>
      <c r="S29" s="9">
        <v>0</v>
      </c>
      <c r="T29" s="9"/>
      <c r="U29" s="9"/>
      <c r="V29" s="9">
        <v>0</v>
      </c>
      <c r="W29" s="9">
        <v>0</v>
      </c>
      <c r="X29" s="9"/>
      <c r="Y29" t="s">
        <v>29</v>
      </c>
      <c r="Z29" s="50" t="s">
        <v>281</v>
      </c>
      <c r="AA29" s="12"/>
      <c r="AB29" s="9">
        <v>1</v>
      </c>
      <c r="AC29" s="9"/>
      <c r="AD29" s="13"/>
      <c r="AE29" s="12"/>
      <c r="AF29" s="9">
        <v>1</v>
      </c>
      <c r="AG29" s="12"/>
      <c r="AH29" s="9" t="s">
        <v>160</v>
      </c>
      <c r="AI29" s="9">
        <v>3</v>
      </c>
      <c r="AJ29" s="12"/>
      <c r="AK29" s="9"/>
      <c r="AL29" s="9" t="s">
        <v>116</v>
      </c>
      <c r="AM29" s="9" t="s">
        <v>116</v>
      </c>
      <c r="AN29" s="15" t="s">
        <v>173</v>
      </c>
      <c r="AO29" s="15" t="s">
        <v>118</v>
      </c>
      <c r="AP29" s="16" t="s">
        <v>119</v>
      </c>
      <c r="AQ29" s="9" t="s">
        <v>120</v>
      </c>
      <c r="AR29" s="9">
        <v>2.88</v>
      </c>
      <c r="AS29" s="9" t="s">
        <v>129</v>
      </c>
      <c r="AT29" s="9">
        <v>2.93</v>
      </c>
      <c r="AU29" s="9" t="s">
        <v>163</v>
      </c>
      <c r="AV29" s="23">
        <v>4</v>
      </c>
      <c r="AW29" s="26">
        <v>0</v>
      </c>
      <c r="AX29" s="19" t="s">
        <v>122</v>
      </c>
      <c r="AY29" s="19" t="s">
        <v>122</v>
      </c>
      <c r="AZ29" s="20" t="s">
        <v>122</v>
      </c>
      <c r="BA29" s="20" t="s">
        <v>122</v>
      </c>
      <c r="BB29" s="19" t="s">
        <v>122</v>
      </c>
      <c r="BC29" s="21" t="s">
        <v>122</v>
      </c>
      <c r="BD29" s="9" t="s">
        <v>122</v>
      </c>
      <c r="BE29" s="9" t="s">
        <v>122</v>
      </c>
      <c r="BF29" s="9" t="s">
        <v>122</v>
      </c>
      <c r="BG29" s="9" t="s">
        <v>122</v>
      </c>
      <c r="BH29" s="9" t="s">
        <v>122</v>
      </c>
      <c r="BI29" s="9" t="s">
        <v>122</v>
      </c>
      <c r="BJ29" s="9" t="s">
        <v>122</v>
      </c>
      <c r="BK29" s="9" t="s">
        <v>122</v>
      </c>
      <c r="BL29" s="22">
        <v>0.79084899622960048</v>
      </c>
      <c r="BM29" s="19">
        <v>0.13056043823548732</v>
      </c>
      <c r="BN29" s="19">
        <v>1.8860076098145904</v>
      </c>
      <c r="BO29" s="19">
        <v>0.13509394065712765</v>
      </c>
      <c r="BP29" s="20">
        <v>1</v>
      </c>
      <c r="BQ29" s="20">
        <v>1</v>
      </c>
      <c r="BR29" s="20">
        <v>1</v>
      </c>
      <c r="BS29" s="20">
        <v>1</v>
      </c>
      <c r="BT29" s="20" t="s">
        <v>142</v>
      </c>
    </row>
    <row r="30" spans="1:72" ht="16" x14ac:dyDescent="0.35">
      <c r="A30" t="s">
        <v>242</v>
      </c>
      <c r="B30">
        <v>917</v>
      </c>
      <c r="C30" t="s">
        <v>30</v>
      </c>
      <c r="K30" s="9">
        <v>1</v>
      </c>
      <c r="L30" s="9" t="s">
        <v>115</v>
      </c>
      <c r="M30" s="9"/>
      <c r="N30" s="9"/>
      <c r="O30" s="9"/>
      <c r="P30" s="9"/>
      <c r="Q30" s="10"/>
      <c r="R30" s="11"/>
      <c r="S30" s="9">
        <v>1</v>
      </c>
      <c r="T30" s="9"/>
      <c r="U30" s="9">
        <v>3</v>
      </c>
      <c r="V30" s="9">
        <v>1</v>
      </c>
      <c r="W30" s="9">
        <v>1</v>
      </c>
      <c r="X30" s="9"/>
      <c r="Y30" t="s">
        <v>30</v>
      </c>
      <c r="Z30" t="s">
        <v>30</v>
      </c>
      <c r="AA30" s="12"/>
      <c r="AB30" s="9">
        <v>1</v>
      </c>
      <c r="AC30" s="9"/>
      <c r="AD30" s="13"/>
      <c r="AE30" s="12">
        <v>1</v>
      </c>
      <c r="AF30" s="9"/>
      <c r="AG30" s="12"/>
      <c r="AH30" s="9" t="s">
        <v>125</v>
      </c>
      <c r="AI30" s="9">
        <v>2</v>
      </c>
      <c r="AJ30" s="12" t="s">
        <v>116</v>
      </c>
      <c r="AK30" s="9"/>
      <c r="AL30" s="9" t="s">
        <v>135</v>
      </c>
      <c r="AM30" s="9" t="s">
        <v>135</v>
      </c>
      <c r="AN30" s="15" t="s">
        <v>174</v>
      </c>
      <c r="AO30" s="15" t="s">
        <v>118</v>
      </c>
      <c r="AP30" s="16" t="s">
        <v>137</v>
      </c>
      <c r="AQ30" s="9" t="s">
        <v>129</v>
      </c>
      <c r="AR30" s="9">
        <v>3.59</v>
      </c>
      <c r="AS30" s="9" t="s">
        <v>141</v>
      </c>
      <c r="AT30" s="9">
        <v>3.58</v>
      </c>
      <c r="AU30" s="9" t="s">
        <v>163</v>
      </c>
      <c r="AV30" s="23">
        <v>2</v>
      </c>
      <c r="AW30" s="26">
        <v>0</v>
      </c>
      <c r="AX30" s="19">
        <v>20.420703287954552</v>
      </c>
      <c r="AY30" s="19">
        <v>32.037482633482767</v>
      </c>
      <c r="AZ30" s="20">
        <v>2</v>
      </c>
      <c r="BA30" s="20">
        <v>2</v>
      </c>
      <c r="BB30" s="19">
        <v>11.616779345528215</v>
      </c>
      <c r="BC30" s="21" t="s">
        <v>130</v>
      </c>
      <c r="BD30" s="9" t="s">
        <v>154</v>
      </c>
      <c r="BE30" s="9">
        <v>1</v>
      </c>
      <c r="BF30" s="9">
        <v>43</v>
      </c>
      <c r="BG30" s="9">
        <v>0</v>
      </c>
      <c r="BH30" s="9">
        <v>15.5</v>
      </c>
      <c r="BI30" s="9">
        <v>17.7</v>
      </c>
      <c r="BJ30" s="9">
        <v>0</v>
      </c>
      <c r="BK30" s="9">
        <v>23.8</v>
      </c>
      <c r="BL30" s="22">
        <v>3.6187523828296562</v>
      </c>
      <c r="BM30" s="19">
        <v>6.1332667591720735</v>
      </c>
      <c r="BN30" s="19">
        <v>2.2381110989819581</v>
      </c>
      <c r="BO30" s="19">
        <v>3.4475385835175807</v>
      </c>
      <c r="BP30" s="20">
        <v>3</v>
      </c>
      <c r="BQ30" s="20">
        <v>1</v>
      </c>
      <c r="BR30" s="20">
        <v>2</v>
      </c>
      <c r="BS30" s="20">
        <v>1</v>
      </c>
      <c r="BT30" s="20" t="s">
        <v>164</v>
      </c>
    </row>
    <row r="31" spans="1:72" ht="16" x14ac:dyDescent="0.35">
      <c r="A31" t="s">
        <v>243</v>
      </c>
      <c r="B31">
        <v>544</v>
      </c>
      <c r="C31" t="s">
        <v>31</v>
      </c>
      <c r="G31" t="s">
        <v>199</v>
      </c>
      <c r="K31" s="9">
        <v>1</v>
      </c>
      <c r="L31" s="9" t="s">
        <v>124</v>
      </c>
      <c r="M31" s="9"/>
      <c r="N31" s="9"/>
      <c r="O31" s="9"/>
      <c r="P31" s="9"/>
      <c r="Q31" s="10"/>
      <c r="R31" s="11"/>
      <c r="S31" s="9">
        <v>0</v>
      </c>
      <c r="T31" s="9"/>
      <c r="U31" s="9"/>
      <c r="V31" s="9">
        <v>0</v>
      </c>
      <c r="W31" s="9">
        <v>0</v>
      </c>
      <c r="X31" s="9"/>
      <c r="Y31" t="s">
        <v>31</v>
      </c>
      <c r="Z31" s="50" t="s">
        <v>199</v>
      </c>
      <c r="AA31" s="12"/>
      <c r="AB31" s="9">
        <v>1</v>
      </c>
      <c r="AC31" s="9"/>
      <c r="AD31" s="13"/>
      <c r="AE31" s="12"/>
      <c r="AF31" s="9">
        <v>1</v>
      </c>
      <c r="AG31" s="12"/>
      <c r="AH31" s="9" t="s">
        <v>160</v>
      </c>
      <c r="AI31" s="9">
        <v>3</v>
      </c>
      <c r="AJ31" s="12" t="s">
        <v>116</v>
      </c>
      <c r="AK31" s="9"/>
      <c r="AL31" s="9" t="s">
        <v>161</v>
      </c>
      <c r="AM31" s="9" t="s">
        <v>161</v>
      </c>
      <c r="AN31" s="15" t="s">
        <v>171</v>
      </c>
      <c r="AO31" s="15" t="s">
        <v>158</v>
      </c>
      <c r="AP31" s="16" t="s">
        <v>150</v>
      </c>
      <c r="AQ31" s="9" t="s">
        <v>129</v>
      </c>
      <c r="AR31" s="9">
        <v>3.4</v>
      </c>
      <c r="AS31" s="9" t="s">
        <v>120</v>
      </c>
      <c r="AT31" s="9">
        <v>2.98</v>
      </c>
      <c r="AU31" s="9" t="s">
        <v>144</v>
      </c>
      <c r="AV31" s="23">
        <v>6.15</v>
      </c>
      <c r="AW31" s="26">
        <v>27.934999999999999</v>
      </c>
      <c r="AX31" s="19">
        <v>0</v>
      </c>
      <c r="AY31" s="19">
        <v>30.248903800354725</v>
      </c>
      <c r="AZ31" s="20">
        <v>1</v>
      </c>
      <c r="BA31" s="20">
        <v>1</v>
      </c>
      <c r="BB31" s="19">
        <v>30.248903800354725</v>
      </c>
      <c r="BC31" s="21" t="s">
        <v>145</v>
      </c>
      <c r="BD31" s="9" t="s">
        <v>154</v>
      </c>
      <c r="BE31" s="9">
        <v>1</v>
      </c>
      <c r="BF31" s="9">
        <v>49.6</v>
      </c>
      <c r="BG31" s="9">
        <v>15.1</v>
      </c>
      <c r="BH31" s="9">
        <v>16.2</v>
      </c>
      <c r="BI31" s="9">
        <v>7.1</v>
      </c>
      <c r="BJ31" s="9">
        <v>0</v>
      </c>
      <c r="BK31" s="9">
        <v>12</v>
      </c>
      <c r="BL31" s="22">
        <v>3.2142069912713511</v>
      </c>
      <c r="BM31" s="19">
        <v>7.4146695002814411</v>
      </c>
      <c r="BN31" s="19">
        <v>5.1444737223577395</v>
      </c>
      <c r="BO31" s="19">
        <v>19.572517253135356</v>
      </c>
      <c r="BP31" s="20">
        <v>3</v>
      </c>
      <c r="BQ31" s="20">
        <v>4</v>
      </c>
      <c r="BR31" s="20">
        <v>2</v>
      </c>
      <c r="BS31" s="20">
        <v>2</v>
      </c>
      <c r="BT31" s="20" t="s">
        <v>139</v>
      </c>
    </row>
    <row r="32" spans="1:72" ht="16" x14ac:dyDescent="0.35">
      <c r="A32" t="s">
        <v>244</v>
      </c>
      <c r="B32">
        <v>666</v>
      </c>
      <c r="C32" t="s">
        <v>32</v>
      </c>
      <c r="K32" s="9">
        <v>1</v>
      </c>
      <c r="L32" s="9" t="s">
        <v>133</v>
      </c>
      <c r="M32" s="9"/>
      <c r="N32" s="9"/>
      <c r="O32" s="9"/>
      <c r="P32" s="9"/>
      <c r="Q32" s="10"/>
      <c r="R32" s="11"/>
      <c r="S32" s="9">
        <v>1</v>
      </c>
      <c r="T32" s="9"/>
      <c r="U32" s="9">
        <v>1</v>
      </c>
      <c r="V32" s="9">
        <v>0</v>
      </c>
      <c r="W32" s="9">
        <v>0</v>
      </c>
      <c r="X32" s="9"/>
      <c r="Y32" t="s">
        <v>32</v>
      </c>
      <c r="Z32" s="50" t="s">
        <v>32</v>
      </c>
      <c r="AA32" s="12"/>
      <c r="AB32" s="9">
        <v>1</v>
      </c>
      <c r="AC32" s="9"/>
      <c r="AD32" s="13"/>
      <c r="AE32" s="12">
        <v>1</v>
      </c>
      <c r="AF32" s="9"/>
      <c r="AG32" s="12"/>
      <c r="AH32" s="9">
        <v>1</v>
      </c>
      <c r="AI32" s="9">
        <v>1</v>
      </c>
      <c r="AJ32" s="12" t="s">
        <v>135</v>
      </c>
      <c r="AK32" s="9"/>
      <c r="AL32" s="9" t="s">
        <v>135</v>
      </c>
      <c r="AM32" s="9" t="s">
        <v>135</v>
      </c>
      <c r="AN32" s="15" t="s">
        <v>140</v>
      </c>
      <c r="AO32" s="15" t="s">
        <v>118</v>
      </c>
      <c r="AP32" s="16" t="s">
        <v>137</v>
      </c>
      <c r="AQ32" s="9" t="s">
        <v>129</v>
      </c>
      <c r="AR32" s="9">
        <v>3.48</v>
      </c>
      <c r="AS32" s="9" t="s">
        <v>129</v>
      </c>
      <c r="AT32" s="9">
        <v>3.27</v>
      </c>
      <c r="AU32" s="9" t="s">
        <v>121</v>
      </c>
      <c r="AV32" s="23">
        <v>2.5666666666666669</v>
      </c>
      <c r="AW32" s="26">
        <v>1.1000000000000014</v>
      </c>
      <c r="AX32" s="19">
        <v>15.328289195268852</v>
      </c>
      <c r="AY32" s="19">
        <v>24.955280280682246</v>
      </c>
      <c r="AZ32" s="20">
        <v>2</v>
      </c>
      <c r="BA32" s="20">
        <v>1</v>
      </c>
      <c r="BB32" s="19">
        <v>9.626991085413394</v>
      </c>
      <c r="BC32" s="21" t="s">
        <v>130</v>
      </c>
      <c r="BD32" s="9" t="s">
        <v>131</v>
      </c>
      <c r="BE32" s="9">
        <v>0</v>
      </c>
      <c r="BF32" s="9">
        <v>9.9</v>
      </c>
      <c r="BG32" s="9">
        <v>0.6</v>
      </c>
      <c r="BH32" s="9">
        <v>7.3</v>
      </c>
      <c r="BI32" s="9">
        <v>41.1</v>
      </c>
      <c r="BJ32" s="9">
        <v>0</v>
      </c>
      <c r="BK32" s="9">
        <v>41</v>
      </c>
      <c r="BL32" s="22">
        <v>2.7443975400569163</v>
      </c>
      <c r="BM32" s="19">
        <v>2.5336367544143297</v>
      </c>
      <c r="BN32" s="19">
        <v>3.7658200534761632</v>
      </c>
      <c r="BO32" s="19">
        <v>2.5836655150509409</v>
      </c>
      <c r="BP32" s="20">
        <v>1</v>
      </c>
      <c r="BQ32" s="20">
        <v>1</v>
      </c>
      <c r="BR32" s="20">
        <v>2</v>
      </c>
      <c r="BS32" s="20">
        <v>2</v>
      </c>
      <c r="BT32" s="20" t="s">
        <v>143</v>
      </c>
    </row>
    <row r="33" spans="1:72" ht="16" x14ac:dyDescent="0.35">
      <c r="A33" t="s">
        <v>245</v>
      </c>
      <c r="B33">
        <v>668</v>
      </c>
      <c r="C33" t="s">
        <v>33</v>
      </c>
      <c r="K33" s="9">
        <v>1</v>
      </c>
      <c r="L33" s="9" t="s">
        <v>133</v>
      </c>
      <c r="M33" s="9"/>
      <c r="N33" s="9">
        <v>1</v>
      </c>
      <c r="O33" s="9"/>
      <c r="P33" s="9"/>
      <c r="Q33" s="10">
        <v>1</v>
      </c>
      <c r="R33" s="11"/>
      <c r="S33" s="9">
        <v>1</v>
      </c>
      <c r="T33" s="9">
        <v>1</v>
      </c>
      <c r="U33" s="9">
        <v>4</v>
      </c>
      <c r="V33" s="9">
        <v>1</v>
      </c>
      <c r="W33" s="9">
        <v>1</v>
      </c>
      <c r="X33" s="9"/>
      <c r="Y33" t="s">
        <v>33</v>
      </c>
      <c r="Z33" t="s">
        <v>33</v>
      </c>
      <c r="AA33" s="12">
        <v>1</v>
      </c>
      <c r="AB33" s="9">
        <v>1</v>
      </c>
      <c r="AC33" s="9">
        <v>2010</v>
      </c>
      <c r="AD33" s="13"/>
      <c r="AE33" s="12">
        <v>1</v>
      </c>
      <c r="AF33" s="9"/>
      <c r="AG33" s="12"/>
      <c r="AH33" s="9">
        <v>1</v>
      </c>
      <c r="AI33" s="9">
        <v>1</v>
      </c>
      <c r="AJ33" s="12"/>
      <c r="AK33" s="9" t="s">
        <v>126</v>
      </c>
      <c r="AL33" s="9" t="s">
        <v>135</v>
      </c>
      <c r="AM33" s="9" t="s">
        <v>116</v>
      </c>
      <c r="AN33" s="15" t="s">
        <v>140</v>
      </c>
      <c r="AO33" s="15" t="s">
        <v>118</v>
      </c>
      <c r="AP33" s="16" t="s">
        <v>150</v>
      </c>
      <c r="AQ33" s="9" t="s">
        <v>120</v>
      </c>
      <c r="AR33" s="9">
        <v>3.06</v>
      </c>
      <c r="AS33" s="9" t="s">
        <v>120</v>
      </c>
      <c r="AT33" s="9">
        <v>2.99</v>
      </c>
      <c r="AU33" s="9" t="s">
        <v>121</v>
      </c>
      <c r="AV33" s="23">
        <v>1.6</v>
      </c>
      <c r="AW33" s="26">
        <v>7</v>
      </c>
      <c r="AX33" s="19">
        <v>76.658708748112389</v>
      </c>
      <c r="AY33" s="19">
        <v>50.655729742077483</v>
      </c>
      <c r="AZ33" s="20">
        <v>4</v>
      </c>
      <c r="BA33" s="20">
        <v>3</v>
      </c>
      <c r="BB33" s="19">
        <v>-26.002979006034906</v>
      </c>
      <c r="BC33" s="21" t="s">
        <v>151</v>
      </c>
      <c r="BD33" s="9" t="s">
        <v>131</v>
      </c>
      <c r="BE33" s="9">
        <v>0</v>
      </c>
      <c r="BF33" s="9">
        <v>4.2</v>
      </c>
      <c r="BG33" s="9">
        <v>0</v>
      </c>
      <c r="BH33" s="9">
        <v>14.5</v>
      </c>
      <c r="BI33" s="9">
        <v>51.7</v>
      </c>
      <c r="BJ33" s="9">
        <v>0.1</v>
      </c>
      <c r="BK33" s="9">
        <v>29.5</v>
      </c>
      <c r="BL33" s="22">
        <v>0.11700569962211568</v>
      </c>
      <c r="BM33" s="19">
        <v>0.34858096529986049</v>
      </c>
      <c r="BN33" s="19">
        <v>3.5230270345275572</v>
      </c>
      <c r="BO33" s="19">
        <v>6.184547069815757</v>
      </c>
      <c r="BP33" s="20">
        <v>1</v>
      </c>
      <c r="BQ33" s="20">
        <v>2</v>
      </c>
      <c r="BR33" s="20">
        <v>1</v>
      </c>
      <c r="BS33" s="20">
        <v>2</v>
      </c>
      <c r="BT33" s="20" t="s">
        <v>139</v>
      </c>
    </row>
    <row r="34" spans="1:72" ht="16" x14ac:dyDescent="0.35">
      <c r="A34" t="s">
        <v>246</v>
      </c>
      <c r="B34">
        <v>674</v>
      </c>
      <c r="C34" t="s">
        <v>34</v>
      </c>
      <c r="K34" s="9">
        <v>1</v>
      </c>
      <c r="L34" s="9" t="s">
        <v>133</v>
      </c>
      <c r="M34" s="9"/>
      <c r="N34" s="9"/>
      <c r="O34" s="9"/>
      <c r="P34" s="9"/>
      <c r="Q34" s="10"/>
      <c r="R34" s="11"/>
      <c r="S34" s="9">
        <v>1</v>
      </c>
      <c r="T34" s="9">
        <v>1</v>
      </c>
      <c r="U34" s="9">
        <v>4</v>
      </c>
      <c r="V34" s="9">
        <v>1</v>
      </c>
      <c r="W34" s="9">
        <v>1</v>
      </c>
      <c r="X34" s="9">
        <v>1</v>
      </c>
      <c r="Y34" t="s">
        <v>34</v>
      </c>
      <c r="Z34" t="s">
        <v>34</v>
      </c>
      <c r="AA34" s="12">
        <v>1</v>
      </c>
      <c r="AB34" s="9">
        <v>1</v>
      </c>
      <c r="AC34" s="9">
        <v>2004</v>
      </c>
      <c r="AD34" s="13"/>
      <c r="AE34" s="12">
        <v>1</v>
      </c>
      <c r="AF34" s="9"/>
      <c r="AG34" s="12"/>
      <c r="AH34" s="9">
        <v>1</v>
      </c>
      <c r="AI34" s="9">
        <v>1</v>
      </c>
      <c r="AJ34" s="12" t="s">
        <v>126</v>
      </c>
      <c r="AK34" s="9"/>
      <c r="AL34" s="9" t="s">
        <v>135</v>
      </c>
      <c r="AM34" s="9" t="s">
        <v>135</v>
      </c>
      <c r="AN34" s="15" t="s">
        <v>127</v>
      </c>
      <c r="AO34" s="15" t="s">
        <v>118</v>
      </c>
      <c r="AP34" s="16" t="s">
        <v>137</v>
      </c>
      <c r="AQ34" s="9" t="s">
        <v>120</v>
      </c>
      <c r="AR34" s="9">
        <v>3.04</v>
      </c>
      <c r="AS34" s="9" t="s">
        <v>129</v>
      </c>
      <c r="AT34" s="9">
        <v>3.25</v>
      </c>
      <c r="AU34" s="9" t="s">
        <v>163</v>
      </c>
      <c r="AV34" s="23">
        <v>2.2000000000000002</v>
      </c>
      <c r="AW34" s="26">
        <v>0</v>
      </c>
      <c r="AX34" s="19">
        <v>21.142805921194238</v>
      </c>
      <c r="AY34" s="19">
        <v>47.265675901429503</v>
      </c>
      <c r="AZ34" s="20">
        <v>2</v>
      </c>
      <c r="BA34" s="20">
        <v>3</v>
      </c>
      <c r="BB34" s="19">
        <v>26.122869980235265</v>
      </c>
      <c r="BC34" s="21" t="s">
        <v>138</v>
      </c>
      <c r="BD34" s="9" t="s">
        <v>131</v>
      </c>
      <c r="BE34" s="9">
        <v>0</v>
      </c>
      <c r="BF34" s="9">
        <v>4</v>
      </c>
      <c r="BG34" s="9">
        <v>3.5</v>
      </c>
      <c r="BH34" s="9">
        <v>12.6</v>
      </c>
      <c r="BI34" s="9">
        <v>55.3</v>
      </c>
      <c r="BJ34" s="9">
        <v>0</v>
      </c>
      <c r="BK34" s="9">
        <v>24.5</v>
      </c>
      <c r="BL34" s="22">
        <v>10.044699400199523</v>
      </c>
      <c r="BM34" s="19">
        <v>14.306136291437355</v>
      </c>
      <c r="BN34" s="19">
        <v>3.8513904174119435</v>
      </c>
      <c r="BO34" s="19">
        <v>6.5559734103099805</v>
      </c>
      <c r="BP34" s="20">
        <v>4</v>
      </c>
      <c r="BQ34" s="20">
        <v>2</v>
      </c>
      <c r="BR34" s="20">
        <v>4</v>
      </c>
      <c r="BS34" s="20">
        <v>2</v>
      </c>
      <c r="BT34" s="20" t="s">
        <v>164</v>
      </c>
    </row>
    <row r="35" spans="1:72" ht="16" x14ac:dyDescent="0.35">
      <c r="A35" t="s">
        <v>247</v>
      </c>
      <c r="B35">
        <v>676</v>
      </c>
      <c r="C35" t="s">
        <v>35</v>
      </c>
      <c r="K35" s="9">
        <v>1</v>
      </c>
      <c r="L35" s="9" t="s">
        <v>133</v>
      </c>
      <c r="M35" s="9"/>
      <c r="N35" s="9">
        <v>1</v>
      </c>
      <c r="O35" s="9"/>
      <c r="P35" s="9"/>
      <c r="Q35" s="10"/>
      <c r="R35" s="11"/>
      <c r="S35" s="9">
        <v>1</v>
      </c>
      <c r="T35" s="9">
        <v>1</v>
      </c>
      <c r="U35" s="9">
        <v>5</v>
      </c>
      <c r="V35" s="9">
        <v>1</v>
      </c>
      <c r="W35" s="9">
        <v>1</v>
      </c>
      <c r="X35" s="9"/>
      <c r="Y35" t="s">
        <v>35</v>
      </c>
      <c r="Z35" t="s">
        <v>35</v>
      </c>
      <c r="AA35" s="12">
        <v>1</v>
      </c>
      <c r="AB35" s="9">
        <v>1</v>
      </c>
      <c r="AC35" s="9">
        <v>2006</v>
      </c>
      <c r="AD35" s="13">
        <v>1</v>
      </c>
      <c r="AE35" s="12">
        <v>1</v>
      </c>
      <c r="AF35" s="9"/>
      <c r="AG35" s="12"/>
      <c r="AH35" s="9">
        <v>1</v>
      </c>
      <c r="AI35" s="9">
        <v>1</v>
      </c>
      <c r="AJ35" s="12" t="s">
        <v>135</v>
      </c>
      <c r="AK35" s="9" t="s">
        <v>135</v>
      </c>
      <c r="AL35" s="9" t="s">
        <v>161</v>
      </c>
      <c r="AM35" s="9" t="s">
        <v>161</v>
      </c>
      <c r="AN35" s="15" t="s">
        <v>175</v>
      </c>
      <c r="AO35" s="15" t="s">
        <v>158</v>
      </c>
      <c r="AP35" s="16" t="s">
        <v>150</v>
      </c>
      <c r="AQ35" s="9" t="s">
        <v>120</v>
      </c>
      <c r="AR35" s="9">
        <v>3.16</v>
      </c>
      <c r="AS35" s="9" t="s">
        <v>120</v>
      </c>
      <c r="AT35" s="9">
        <v>3.03</v>
      </c>
      <c r="AU35" s="9" t="s">
        <v>121</v>
      </c>
      <c r="AV35" s="23">
        <v>2</v>
      </c>
      <c r="AW35" s="26">
        <v>0</v>
      </c>
      <c r="AX35" s="19">
        <v>12.344029909546563</v>
      </c>
      <c r="AY35" s="19">
        <v>63.672162780552974</v>
      </c>
      <c r="AZ35" s="20">
        <v>1</v>
      </c>
      <c r="BA35" s="20">
        <v>4</v>
      </c>
      <c r="BB35" s="19">
        <v>51.32813287100641</v>
      </c>
      <c r="BC35" s="21" t="s">
        <v>145</v>
      </c>
      <c r="BD35" s="9" t="s">
        <v>131</v>
      </c>
      <c r="BE35" s="9">
        <v>1</v>
      </c>
      <c r="BF35" s="9">
        <v>11.9</v>
      </c>
      <c r="BG35" s="9">
        <v>0</v>
      </c>
      <c r="BH35" s="9">
        <v>10.7</v>
      </c>
      <c r="BI35" s="9">
        <v>46.8</v>
      </c>
      <c r="BJ35" s="9">
        <v>0</v>
      </c>
      <c r="BK35" s="9">
        <v>30.6</v>
      </c>
      <c r="BL35" s="22">
        <v>27.875948119219501</v>
      </c>
      <c r="BM35" s="19">
        <v>19.085559151066256</v>
      </c>
      <c r="BN35" s="19">
        <v>39.485716440933906</v>
      </c>
      <c r="BO35" s="19">
        <v>30.413326120898017</v>
      </c>
      <c r="BP35" s="20">
        <v>4</v>
      </c>
      <c r="BQ35" s="20">
        <v>4</v>
      </c>
      <c r="BR35" s="20">
        <v>4</v>
      </c>
      <c r="BS35" s="20">
        <v>4</v>
      </c>
      <c r="BT35" s="20" t="s">
        <v>132</v>
      </c>
    </row>
    <row r="36" spans="1:72" ht="16" x14ac:dyDescent="0.35">
      <c r="A36" t="s">
        <v>248</v>
      </c>
      <c r="B36">
        <v>556</v>
      </c>
      <c r="C36" t="s">
        <v>36</v>
      </c>
      <c r="K36" s="9"/>
      <c r="L36" s="9" t="s">
        <v>124</v>
      </c>
      <c r="M36" s="9"/>
      <c r="N36" s="9"/>
      <c r="O36" s="9"/>
      <c r="P36" s="9">
        <v>1</v>
      </c>
      <c r="Q36" s="10">
        <v>1</v>
      </c>
      <c r="R36" s="11">
        <v>1</v>
      </c>
      <c r="S36" s="9">
        <v>1</v>
      </c>
      <c r="T36" s="9"/>
      <c r="U36" s="9">
        <v>1</v>
      </c>
      <c r="V36" s="9">
        <v>0</v>
      </c>
      <c r="W36" s="9">
        <v>0</v>
      </c>
      <c r="X36" s="9"/>
      <c r="Y36" t="s">
        <v>36</v>
      </c>
      <c r="Z36" t="s">
        <v>36</v>
      </c>
      <c r="AA36" s="12"/>
      <c r="AB36" s="9">
        <v>1</v>
      </c>
      <c r="AC36" s="9"/>
      <c r="AD36" s="13"/>
      <c r="AE36" s="12">
        <v>1</v>
      </c>
      <c r="AF36" s="9"/>
      <c r="AG36" s="12"/>
      <c r="AH36" s="9" t="s">
        <v>160</v>
      </c>
      <c r="AI36" s="9">
        <v>4</v>
      </c>
      <c r="AJ36" s="12"/>
      <c r="AK36" s="9"/>
      <c r="AL36" s="9" t="s">
        <v>116</v>
      </c>
      <c r="AM36" s="9" t="s">
        <v>116</v>
      </c>
      <c r="AN36" s="15" t="s">
        <v>166</v>
      </c>
      <c r="AO36" s="15" t="s">
        <v>118</v>
      </c>
      <c r="AP36" s="16" t="s">
        <v>119</v>
      </c>
      <c r="AQ36" s="9" t="s">
        <v>129</v>
      </c>
      <c r="AR36" s="9">
        <v>3.28</v>
      </c>
      <c r="AS36" s="9" t="s">
        <v>120</v>
      </c>
      <c r="AT36" s="9">
        <v>3.11</v>
      </c>
      <c r="AU36" s="9" t="s">
        <v>144</v>
      </c>
      <c r="AV36" s="23">
        <v>2</v>
      </c>
      <c r="AW36" s="26">
        <v>0</v>
      </c>
      <c r="AX36" s="19">
        <v>40.348167084390909</v>
      </c>
      <c r="AY36" s="19">
        <v>57.771168023530549</v>
      </c>
      <c r="AZ36" s="20">
        <v>4</v>
      </c>
      <c r="BA36" s="20">
        <v>4</v>
      </c>
      <c r="BB36" s="19">
        <v>17.423000939139641</v>
      </c>
      <c r="BC36" s="21" t="s">
        <v>130</v>
      </c>
      <c r="BD36" s="9" t="s">
        <v>154</v>
      </c>
      <c r="BE36" s="9">
        <v>1</v>
      </c>
      <c r="BF36" s="9">
        <v>37.1</v>
      </c>
      <c r="BG36" s="9">
        <v>18.7</v>
      </c>
      <c r="BH36" s="9">
        <v>22</v>
      </c>
      <c r="BI36" s="9">
        <v>6.5</v>
      </c>
      <c r="BJ36" s="9">
        <v>0</v>
      </c>
      <c r="BK36" s="9">
        <v>15.7</v>
      </c>
      <c r="BL36" s="22">
        <v>2.4976581763224237</v>
      </c>
      <c r="BM36" s="19">
        <v>3.357974376205858</v>
      </c>
      <c r="BN36" s="19">
        <v>7.2220106696338506</v>
      </c>
      <c r="BO36" s="19">
        <v>17.005131031778763</v>
      </c>
      <c r="BP36" s="20">
        <v>2</v>
      </c>
      <c r="BQ36" s="20">
        <v>4</v>
      </c>
      <c r="BR36" s="20">
        <v>1</v>
      </c>
      <c r="BS36" s="20">
        <v>3</v>
      </c>
      <c r="BT36" s="20" t="s">
        <v>139</v>
      </c>
    </row>
    <row r="37" spans="1:72" ht="16" x14ac:dyDescent="0.35">
      <c r="A37" t="s">
        <v>215</v>
      </c>
      <c r="B37">
        <v>678</v>
      </c>
      <c r="C37" t="s">
        <v>37</v>
      </c>
      <c r="K37" s="9">
        <v>1</v>
      </c>
      <c r="L37" s="9" t="s">
        <v>133</v>
      </c>
      <c r="M37" s="9" t="s">
        <v>134</v>
      </c>
      <c r="N37" s="9">
        <v>1</v>
      </c>
      <c r="O37" s="9">
        <v>1</v>
      </c>
      <c r="P37" s="9"/>
      <c r="Q37" s="10">
        <v>1</v>
      </c>
      <c r="R37" s="11">
        <v>1</v>
      </c>
      <c r="S37" s="9">
        <v>1</v>
      </c>
      <c r="T37" s="9"/>
      <c r="U37" s="9">
        <v>4</v>
      </c>
      <c r="V37" s="9">
        <v>1</v>
      </c>
      <c r="W37" s="9">
        <v>1</v>
      </c>
      <c r="X37" s="9"/>
      <c r="Y37" t="s">
        <v>37</v>
      </c>
      <c r="Z37" t="s">
        <v>37</v>
      </c>
      <c r="AA37" s="12">
        <v>1</v>
      </c>
      <c r="AB37" s="9">
        <v>1</v>
      </c>
      <c r="AC37" s="24">
        <v>2003</v>
      </c>
      <c r="AD37" s="13"/>
      <c r="AE37" s="12">
        <v>1</v>
      </c>
      <c r="AF37" s="9"/>
      <c r="AG37" s="12"/>
      <c r="AH37" s="9">
        <v>1</v>
      </c>
      <c r="AI37" s="9">
        <v>1</v>
      </c>
      <c r="AJ37" s="12" t="s">
        <v>126</v>
      </c>
      <c r="AK37" s="9"/>
      <c r="AL37" s="9" t="s">
        <v>135</v>
      </c>
      <c r="AM37" s="9" t="s">
        <v>135</v>
      </c>
      <c r="AN37" s="15" t="s">
        <v>176</v>
      </c>
      <c r="AO37" s="15" t="s">
        <v>118</v>
      </c>
      <c r="AP37" s="16" t="s">
        <v>150</v>
      </c>
      <c r="AQ37" s="9" t="s">
        <v>129</v>
      </c>
      <c r="AR37" s="9">
        <v>3.38</v>
      </c>
      <c r="AS37" s="9" t="s">
        <v>129</v>
      </c>
      <c r="AT37" s="9">
        <v>3.21</v>
      </c>
      <c r="AU37" s="9" t="s">
        <v>121</v>
      </c>
      <c r="AV37" s="23">
        <v>3.75</v>
      </c>
      <c r="AW37" s="26">
        <v>0.97499999999999432</v>
      </c>
      <c r="AX37" s="19">
        <v>0</v>
      </c>
      <c r="AY37" s="19">
        <v>51.337247134476343</v>
      </c>
      <c r="AZ37" s="20">
        <v>1</v>
      </c>
      <c r="BA37" s="20">
        <v>3</v>
      </c>
      <c r="BB37" s="19">
        <v>51.337247134476343</v>
      </c>
      <c r="BC37" s="21" t="s">
        <v>145</v>
      </c>
      <c r="BD37" s="9" t="s">
        <v>131</v>
      </c>
      <c r="BE37" s="9">
        <v>1</v>
      </c>
      <c r="BF37" s="9">
        <v>12</v>
      </c>
      <c r="BG37" s="9">
        <v>0</v>
      </c>
      <c r="BH37" s="9">
        <v>14.1</v>
      </c>
      <c r="BI37" s="9">
        <v>40.299999999999997</v>
      </c>
      <c r="BJ37" s="9">
        <v>0</v>
      </c>
      <c r="BK37" s="9">
        <v>33.5</v>
      </c>
      <c r="BL37" s="22">
        <v>2.5711922884742067</v>
      </c>
      <c r="BM37" s="19">
        <v>2.936754278587804</v>
      </c>
      <c r="BN37" s="19">
        <v>5.6956072897868646</v>
      </c>
      <c r="BO37" s="19">
        <v>7.6487524993802056</v>
      </c>
      <c r="BP37" s="20">
        <v>1</v>
      </c>
      <c r="BQ37" s="20">
        <v>2</v>
      </c>
      <c r="BR37" s="20">
        <v>2</v>
      </c>
      <c r="BS37" s="20">
        <v>2</v>
      </c>
      <c r="BT37" s="20" t="s">
        <v>146</v>
      </c>
    </row>
    <row r="38" spans="1:72" ht="16" x14ac:dyDescent="0.35">
      <c r="A38" t="s">
        <v>249</v>
      </c>
      <c r="B38">
        <v>867</v>
      </c>
      <c r="C38" t="s">
        <v>38</v>
      </c>
      <c r="E38" t="s">
        <v>122</v>
      </c>
      <c r="K38" s="9"/>
      <c r="L38" s="9" t="s">
        <v>124</v>
      </c>
      <c r="M38" s="9"/>
      <c r="N38" s="9">
        <v>1</v>
      </c>
      <c r="O38" s="9">
        <v>1</v>
      </c>
      <c r="P38" s="9">
        <v>1</v>
      </c>
      <c r="Q38" s="10"/>
      <c r="R38" s="11"/>
      <c r="S38" s="9">
        <v>0</v>
      </c>
      <c r="T38" s="9"/>
      <c r="U38" s="9"/>
      <c r="V38" s="9">
        <v>0</v>
      </c>
      <c r="W38" s="9">
        <v>0</v>
      </c>
      <c r="X38" s="9"/>
      <c r="Y38" t="s">
        <v>38</v>
      </c>
      <c r="Z38" t="s">
        <v>281</v>
      </c>
      <c r="AA38" s="12"/>
      <c r="AB38" s="9">
        <v>1</v>
      </c>
      <c r="AC38" s="9"/>
      <c r="AD38" s="13"/>
      <c r="AE38" s="12"/>
      <c r="AF38" s="9">
        <v>1</v>
      </c>
      <c r="AG38" s="12"/>
      <c r="AH38" s="9" t="s">
        <v>160</v>
      </c>
      <c r="AI38" s="9">
        <v>4</v>
      </c>
      <c r="AJ38" s="12"/>
      <c r="AK38" s="9"/>
      <c r="AL38" s="9" t="s">
        <v>116</v>
      </c>
      <c r="AM38" s="9" t="s">
        <v>116</v>
      </c>
      <c r="AN38" s="15" t="s">
        <v>177</v>
      </c>
      <c r="AO38" s="15" t="s">
        <v>118</v>
      </c>
      <c r="AP38" s="16" t="s">
        <v>119</v>
      </c>
      <c r="AQ38" s="9" t="s">
        <v>120</v>
      </c>
      <c r="AR38" s="9">
        <v>2.68</v>
      </c>
      <c r="AS38" s="9" t="s">
        <v>120</v>
      </c>
      <c r="AT38" s="9">
        <v>2.65</v>
      </c>
      <c r="AU38" s="9" t="s">
        <v>121</v>
      </c>
      <c r="AV38" s="23">
        <v>2</v>
      </c>
      <c r="AW38" s="26">
        <v>0</v>
      </c>
      <c r="AX38" s="19" t="s">
        <v>122</v>
      </c>
      <c r="AY38" s="19" t="s">
        <v>122</v>
      </c>
      <c r="AZ38" s="20" t="s">
        <v>122</v>
      </c>
      <c r="BA38" s="20" t="s">
        <v>122</v>
      </c>
      <c r="BB38" s="19" t="s">
        <v>122</v>
      </c>
      <c r="BC38" s="21" t="s">
        <v>122</v>
      </c>
      <c r="BD38" s="9" t="s">
        <v>122</v>
      </c>
      <c r="BE38" s="9" t="s">
        <v>122</v>
      </c>
      <c r="BF38" s="9" t="s">
        <v>122</v>
      </c>
      <c r="BG38" s="9" t="s">
        <v>122</v>
      </c>
      <c r="BH38" s="9" t="s">
        <v>122</v>
      </c>
      <c r="BI38" s="9" t="s">
        <v>122</v>
      </c>
      <c r="BJ38" s="9" t="s">
        <v>122</v>
      </c>
      <c r="BK38" s="9" t="s">
        <v>122</v>
      </c>
      <c r="BL38" s="22">
        <v>2.0909644741831785</v>
      </c>
      <c r="BM38" s="19">
        <v>1.0711390443151745</v>
      </c>
      <c r="BN38" s="19">
        <v>0.57691045622947867</v>
      </c>
      <c r="BO38" s="19">
        <v>0.31430044115116418</v>
      </c>
      <c r="BP38" s="20">
        <v>1</v>
      </c>
      <c r="BQ38" s="20">
        <v>1</v>
      </c>
      <c r="BR38" s="20">
        <v>1</v>
      </c>
      <c r="BS38" s="20">
        <v>1</v>
      </c>
      <c r="BT38" s="20" t="s">
        <v>142</v>
      </c>
    </row>
    <row r="39" spans="1:72" ht="16" x14ac:dyDescent="0.35">
      <c r="A39" t="s">
        <v>250</v>
      </c>
      <c r="B39">
        <v>682</v>
      </c>
      <c r="C39" t="s">
        <v>39</v>
      </c>
      <c r="K39" s="9">
        <v>1</v>
      </c>
      <c r="L39" s="9" t="s">
        <v>115</v>
      </c>
      <c r="M39" s="9"/>
      <c r="N39" s="9">
        <v>1</v>
      </c>
      <c r="O39" s="9"/>
      <c r="P39" s="9"/>
      <c r="Q39" s="10"/>
      <c r="R39" s="11"/>
      <c r="S39" s="9">
        <v>1</v>
      </c>
      <c r="T39" s="9">
        <v>1</v>
      </c>
      <c r="U39" s="9">
        <v>4</v>
      </c>
      <c r="V39" s="9">
        <v>1</v>
      </c>
      <c r="W39" s="9">
        <v>1</v>
      </c>
      <c r="X39" s="9">
        <v>1</v>
      </c>
      <c r="Y39" t="s">
        <v>39</v>
      </c>
      <c r="Z39" t="s">
        <v>39</v>
      </c>
      <c r="AA39" s="12">
        <v>1</v>
      </c>
      <c r="AB39" s="9">
        <v>1</v>
      </c>
      <c r="AC39" s="9">
        <v>2002</v>
      </c>
      <c r="AD39" s="13"/>
      <c r="AE39" s="12">
        <v>1</v>
      </c>
      <c r="AF39" s="9"/>
      <c r="AG39" s="12"/>
      <c r="AH39" s="9" t="s">
        <v>125</v>
      </c>
      <c r="AI39" s="9">
        <v>3</v>
      </c>
      <c r="AJ39" s="12" t="s">
        <v>135</v>
      </c>
      <c r="AK39" s="9"/>
      <c r="AL39" s="9" t="s">
        <v>135</v>
      </c>
      <c r="AM39" s="9" t="s">
        <v>135</v>
      </c>
      <c r="AN39" s="15" t="s">
        <v>136</v>
      </c>
      <c r="AO39" s="15" t="s">
        <v>118</v>
      </c>
      <c r="AP39" s="16" t="s">
        <v>150</v>
      </c>
      <c r="AQ39" s="9" t="s">
        <v>129</v>
      </c>
      <c r="AR39" s="9">
        <v>3.23</v>
      </c>
      <c r="AS39" s="9" t="s">
        <v>129</v>
      </c>
      <c r="AT39" s="9">
        <v>3.57</v>
      </c>
      <c r="AU39" s="9" t="s">
        <v>121</v>
      </c>
      <c r="AV39" s="23">
        <v>5.32</v>
      </c>
      <c r="AW39" s="26">
        <v>1.5799999999999983</v>
      </c>
      <c r="AX39" s="19">
        <v>1.5949679190825066</v>
      </c>
      <c r="AY39" s="19">
        <v>21.342391857665433</v>
      </c>
      <c r="AZ39" s="20">
        <v>1</v>
      </c>
      <c r="BA39" s="20">
        <v>1</v>
      </c>
      <c r="BB39" s="19">
        <v>19.747423938582926</v>
      </c>
      <c r="BC39" s="21" t="s">
        <v>138</v>
      </c>
      <c r="BD39" s="9" t="s">
        <v>131</v>
      </c>
      <c r="BE39" s="9">
        <v>0</v>
      </c>
      <c r="BF39" s="9">
        <v>8.4</v>
      </c>
      <c r="BG39" s="9">
        <v>0</v>
      </c>
      <c r="BH39" s="9">
        <v>32.9</v>
      </c>
      <c r="BI39" s="9">
        <v>10.1</v>
      </c>
      <c r="BJ39" s="9">
        <v>0</v>
      </c>
      <c r="BK39" s="9">
        <v>48.6</v>
      </c>
      <c r="BL39" s="22">
        <v>8.6017609909775778</v>
      </c>
      <c r="BM39" s="19">
        <v>11.368153013925683</v>
      </c>
      <c r="BN39" s="19">
        <v>2.4409151355335954</v>
      </c>
      <c r="BO39" s="19">
        <v>4.0522416355203861</v>
      </c>
      <c r="BP39" s="20">
        <v>4</v>
      </c>
      <c r="BQ39" s="20">
        <v>2</v>
      </c>
      <c r="BR39" s="20">
        <v>4</v>
      </c>
      <c r="BS39" s="20">
        <v>1</v>
      </c>
      <c r="BT39" s="20" t="s">
        <v>164</v>
      </c>
    </row>
    <row r="40" spans="1:72" ht="16" x14ac:dyDescent="0.35">
      <c r="A40" t="s">
        <v>251</v>
      </c>
      <c r="B40">
        <v>868</v>
      </c>
      <c r="C40" t="s">
        <v>40</v>
      </c>
      <c r="E40" t="s">
        <v>122</v>
      </c>
      <c r="G40" t="s">
        <v>308</v>
      </c>
      <c r="K40" s="9"/>
      <c r="L40" s="9" t="s">
        <v>124</v>
      </c>
      <c r="M40" s="9"/>
      <c r="N40" s="9"/>
      <c r="O40" s="9">
        <v>1</v>
      </c>
      <c r="P40" s="9">
        <v>1</v>
      </c>
      <c r="Q40" s="10"/>
      <c r="R40" s="11"/>
      <c r="S40" s="9">
        <v>0</v>
      </c>
      <c r="T40" s="9"/>
      <c r="U40" s="9"/>
      <c r="V40" s="9">
        <v>0</v>
      </c>
      <c r="W40" s="9">
        <v>0</v>
      </c>
      <c r="X40" s="9"/>
      <c r="Y40" t="s">
        <v>40</v>
      </c>
      <c r="Z40" t="s">
        <v>281</v>
      </c>
      <c r="AA40" s="12"/>
      <c r="AB40" s="9">
        <v>1</v>
      </c>
      <c r="AC40" s="9"/>
      <c r="AD40" s="13"/>
      <c r="AE40" s="12"/>
      <c r="AF40" s="9">
        <v>1</v>
      </c>
      <c r="AG40" s="12"/>
      <c r="AH40" s="9" t="s">
        <v>125</v>
      </c>
      <c r="AI40" s="9">
        <v>4</v>
      </c>
      <c r="AJ40" s="12"/>
      <c r="AK40" s="9"/>
      <c r="AL40" s="9" t="s">
        <v>135</v>
      </c>
      <c r="AM40" s="9" t="s">
        <v>135</v>
      </c>
      <c r="AN40" s="15" t="s">
        <v>174</v>
      </c>
      <c r="AO40" s="15" t="s">
        <v>118</v>
      </c>
      <c r="AP40" s="16" t="s">
        <v>119</v>
      </c>
      <c r="AQ40" s="9" t="s">
        <v>120</v>
      </c>
      <c r="AR40" s="9">
        <v>2.69</v>
      </c>
      <c r="AS40" s="9" t="s">
        <v>120</v>
      </c>
      <c r="AT40" s="9">
        <v>2.78</v>
      </c>
      <c r="AU40" s="9" t="s">
        <v>121</v>
      </c>
      <c r="AV40" s="23">
        <v>2</v>
      </c>
      <c r="AW40" s="26">
        <v>0</v>
      </c>
      <c r="AX40" s="19" t="s">
        <v>122</v>
      </c>
      <c r="AY40" s="19" t="s">
        <v>122</v>
      </c>
      <c r="AZ40" s="20" t="s">
        <v>122</v>
      </c>
      <c r="BA40" s="20" t="s">
        <v>122</v>
      </c>
      <c r="BB40" s="19" t="s">
        <v>122</v>
      </c>
      <c r="BC40" s="21" t="s">
        <v>122</v>
      </c>
      <c r="BD40" s="9" t="s">
        <v>122</v>
      </c>
      <c r="BE40" s="9" t="s">
        <v>122</v>
      </c>
      <c r="BF40" s="9" t="s">
        <v>122</v>
      </c>
      <c r="BG40" s="9" t="s">
        <v>122</v>
      </c>
      <c r="BH40" s="9" t="s">
        <v>122</v>
      </c>
      <c r="BI40" s="9" t="s">
        <v>122</v>
      </c>
      <c r="BJ40" s="9" t="s">
        <v>122</v>
      </c>
      <c r="BK40" s="9" t="s">
        <v>122</v>
      </c>
      <c r="BL40" s="22">
        <v>1.0609932957656105</v>
      </c>
      <c r="BM40" s="19">
        <v>0.3291571349649221</v>
      </c>
      <c r="BN40" s="19">
        <v>0.47313492615315195</v>
      </c>
      <c r="BO40" s="19">
        <v>0.19736137172360968</v>
      </c>
      <c r="BP40" s="20">
        <v>1</v>
      </c>
      <c r="BQ40" s="20">
        <v>1</v>
      </c>
      <c r="BR40" s="20">
        <v>1</v>
      </c>
      <c r="BS40" s="20">
        <v>1</v>
      </c>
      <c r="BT40" s="20" t="s">
        <v>142</v>
      </c>
    </row>
    <row r="41" spans="1:72" ht="16" x14ac:dyDescent="0.35">
      <c r="A41" t="s">
        <v>252</v>
      </c>
      <c r="B41">
        <v>921</v>
      </c>
      <c r="C41" t="s">
        <v>41</v>
      </c>
      <c r="K41" s="9">
        <v>1</v>
      </c>
      <c r="L41" s="9" t="s">
        <v>178</v>
      </c>
      <c r="M41" s="9"/>
      <c r="N41" s="9"/>
      <c r="O41" s="9"/>
      <c r="P41" s="9"/>
      <c r="Q41" s="10"/>
      <c r="R41" s="11"/>
      <c r="S41" s="9">
        <v>1</v>
      </c>
      <c r="T41" s="9">
        <v>1</v>
      </c>
      <c r="U41" s="9">
        <v>4</v>
      </c>
      <c r="V41" s="9">
        <v>1</v>
      </c>
      <c r="W41" s="9">
        <v>1</v>
      </c>
      <c r="X41" s="9">
        <v>1</v>
      </c>
      <c r="Y41" t="s">
        <v>41</v>
      </c>
      <c r="Z41" t="s">
        <v>41</v>
      </c>
      <c r="AA41" s="12"/>
      <c r="AB41" s="9">
        <v>1</v>
      </c>
      <c r="AC41" s="9"/>
      <c r="AD41" s="13"/>
      <c r="AE41" s="12"/>
      <c r="AF41" s="9">
        <v>1</v>
      </c>
      <c r="AG41" s="12"/>
      <c r="AH41" s="9" t="s">
        <v>125</v>
      </c>
      <c r="AI41" s="9">
        <v>4</v>
      </c>
      <c r="AJ41" s="12" t="s">
        <v>126</v>
      </c>
      <c r="AK41" s="9"/>
      <c r="AL41" s="9" t="s">
        <v>126</v>
      </c>
      <c r="AM41" s="9" t="s">
        <v>135</v>
      </c>
      <c r="AN41" s="15" t="s">
        <v>136</v>
      </c>
      <c r="AO41" s="15" t="s">
        <v>118</v>
      </c>
      <c r="AP41" s="16" t="s">
        <v>150</v>
      </c>
      <c r="AQ41" s="9" t="s">
        <v>129</v>
      </c>
      <c r="AR41" s="9">
        <v>3.82</v>
      </c>
      <c r="AS41" s="9" t="s">
        <v>141</v>
      </c>
      <c r="AT41" s="9" t="s">
        <v>122</v>
      </c>
      <c r="AU41" s="9" t="s">
        <v>163</v>
      </c>
      <c r="AV41" s="23">
        <v>2</v>
      </c>
      <c r="AW41" s="26">
        <v>0</v>
      </c>
      <c r="AX41" s="19">
        <v>41.165573850326851</v>
      </c>
      <c r="AY41" s="19">
        <v>56.839807306761493</v>
      </c>
      <c r="AZ41" s="20">
        <v>4</v>
      </c>
      <c r="BA41" s="20">
        <v>4</v>
      </c>
      <c r="BB41" s="19">
        <v>15.674233456434642</v>
      </c>
      <c r="BC41" s="21" t="s">
        <v>130</v>
      </c>
      <c r="BD41" s="9" t="s">
        <v>131</v>
      </c>
      <c r="BE41" s="9">
        <v>0</v>
      </c>
      <c r="BF41" s="9">
        <v>0.1</v>
      </c>
      <c r="BG41" s="9">
        <v>1.4</v>
      </c>
      <c r="BH41" s="9">
        <v>14.2</v>
      </c>
      <c r="BI41" s="9">
        <v>48</v>
      </c>
      <c r="BJ41" s="9">
        <v>0</v>
      </c>
      <c r="BK41" s="9">
        <v>36.299999999999997</v>
      </c>
      <c r="BL41" s="22">
        <v>2.8030191125837578</v>
      </c>
      <c r="BM41" s="19">
        <v>3.2406607669421468</v>
      </c>
      <c r="BN41" s="19">
        <v>4.7200200148114257</v>
      </c>
      <c r="BO41" s="19">
        <v>4.9476653204269239</v>
      </c>
      <c r="BP41" s="20">
        <v>2</v>
      </c>
      <c r="BQ41" s="20">
        <v>2</v>
      </c>
      <c r="BR41" s="20">
        <v>2</v>
      </c>
      <c r="BS41" s="20">
        <v>2</v>
      </c>
      <c r="BT41" s="20" t="s">
        <v>143</v>
      </c>
    </row>
    <row r="42" spans="1:72" ht="16" x14ac:dyDescent="0.35">
      <c r="A42" t="s">
        <v>216</v>
      </c>
      <c r="B42">
        <v>688</v>
      </c>
      <c r="C42" t="s">
        <v>42</v>
      </c>
      <c r="K42" s="9">
        <v>1</v>
      </c>
      <c r="L42" s="9" t="s">
        <v>133</v>
      </c>
      <c r="M42" s="9"/>
      <c r="N42" s="9"/>
      <c r="O42" s="9">
        <v>1</v>
      </c>
      <c r="P42" s="9"/>
      <c r="Q42" s="10"/>
      <c r="R42" s="11"/>
      <c r="S42" s="9">
        <v>1</v>
      </c>
      <c r="T42" s="9">
        <v>1</v>
      </c>
      <c r="U42" s="9">
        <v>2</v>
      </c>
      <c r="V42" s="9">
        <v>1</v>
      </c>
      <c r="W42" s="9">
        <v>1</v>
      </c>
      <c r="X42" s="9"/>
      <c r="Y42" t="s">
        <v>42</v>
      </c>
      <c r="Z42" t="s">
        <v>42</v>
      </c>
      <c r="AA42" s="12">
        <v>1</v>
      </c>
      <c r="AB42" s="9">
        <v>1</v>
      </c>
      <c r="AC42" s="9" t="s">
        <v>179</v>
      </c>
      <c r="AD42" s="13">
        <v>1</v>
      </c>
      <c r="AE42" s="12">
        <v>1</v>
      </c>
      <c r="AF42" s="9"/>
      <c r="AG42" s="12">
        <v>1</v>
      </c>
      <c r="AH42" s="9">
        <v>1</v>
      </c>
      <c r="AI42" s="9">
        <v>1</v>
      </c>
      <c r="AJ42" s="12" t="s">
        <v>126</v>
      </c>
      <c r="AK42" s="9"/>
      <c r="AL42" s="9" t="s">
        <v>116</v>
      </c>
      <c r="AM42" s="9" t="s">
        <v>116</v>
      </c>
      <c r="AN42" s="15" t="s">
        <v>165</v>
      </c>
      <c r="AO42" s="15" t="s">
        <v>158</v>
      </c>
      <c r="AP42" s="16" t="s">
        <v>150</v>
      </c>
      <c r="AQ42" s="9" t="s">
        <v>129</v>
      </c>
      <c r="AR42" s="9">
        <v>3.73</v>
      </c>
      <c r="AS42" s="9" t="s">
        <v>120</v>
      </c>
      <c r="AT42" s="9">
        <v>3.13</v>
      </c>
      <c r="AU42" s="9" t="s">
        <v>144</v>
      </c>
      <c r="AV42" s="23">
        <v>5.6666666666666661</v>
      </c>
      <c r="AW42" s="26">
        <v>3.2399999999999984</v>
      </c>
      <c r="AX42" s="19">
        <v>33.71977613469916</v>
      </c>
      <c r="AY42" s="19">
        <v>51.593393065087668</v>
      </c>
      <c r="AZ42" s="20">
        <v>3</v>
      </c>
      <c r="BA42" s="20">
        <v>3</v>
      </c>
      <c r="BB42" s="19">
        <v>17.873616930388508</v>
      </c>
      <c r="BC42" s="21" t="s">
        <v>138</v>
      </c>
      <c r="BD42" s="9" t="s">
        <v>131</v>
      </c>
      <c r="BE42" s="9">
        <v>1</v>
      </c>
      <c r="BF42" s="9">
        <v>18.3</v>
      </c>
      <c r="BG42" s="9">
        <v>18.100000000000001</v>
      </c>
      <c r="BH42" s="9">
        <v>20.3</v>
      </c>
      <c r="BI42" s="9">
        <v>29.2</v>
      </c>
      <c r="BJ42" s="9">
        <v>0</v>
      </c>
      <c r="BK42" s="9">
        <v>14.2</v>
      </c>
      <c r="BL42" s="22">
        <v>2.592792571590012</v>
      </c>
      <c r="BM42" s="19">
        <v>4.0886399937843292</v>
      </c>
      <c r="BN42" s="19">
        <v>9.7556693816470865</v>
      </c>
      <c r="BO42" s="19">
        <v>14.629897621943725</v>
      </c>
      <c r="BP42" s="20">
        <v>2</v>
      </c>
      <c r="BQ42" s="20">
        <v>4</v>
      </c>
      <c r="BR42" s="20">
        <v>2</v>
      </c>
      <c r="BS42" s="20">
        <v>4</v>
      </c>
      <c r="BT42" s="20" t="s">
        <v>139</v>
      </c>
    </row>
    <row r="43" spans="1:72" ht="16" x14ac:dyDescent="0.35">
      <c r="A43" t="s">
        <v>253</v>
      </c>
      <c r="B43">
        <v>518</v>
      </c>
      <c r="C43" t="s">
        <v>43</v>
      </c>
      <c r="K43" s="9">
        <v>1</v>
      </c>
      <c r="L43" s="9" t="s">
        <v>124</v>
      </c>
      <c r="M43" s="9"/>
      <c r="N43" s="9"/>
      <c r="O43" s="9">
        <v>1</v>
      </c>
      <c r="P43" s="9"/>
      <c r="Q43" s="10"/>
      <c r="R43" s="11"/>
      <c r="S43" s="9">
        <v>0</v>
      </c>
      <c r="T43" s="9"/>
      <c r="U43" s="9"/>
      <c r="V43" s="9">
        <v>0</v>
      </c>
      <c r="W43" s="9">
        <v>0</v>
      </c>
      <c r="X43" s="9"/>
      <c r="Y43" t="s">
        <v>43</v>
      </c>
      <c r="Z43" t="s">
        <v>43</v>
      </c>
      <c r="AA43" s="12"/>
      <c r="AB43" s="9">
        <v>1</v>
      </c>
      <c r="AC43" s="9"/>
      <c r="AD43" s="13"/>
      <c r="AE43" s="12">
        <v>1</v>
      </c>
      <c r="AF43" s="9"/>
      <c r="AG43" s="12"/>
      <c r="AH43" s="9">
        <v>1</v>
      </c>
      <c r="AI43" s="9">
        <v>1</v>
      </c>
      <c r="AJ43" s="12"/>
      <c r="AK43" s="9"/>
      <c r="AL43" s="9" t="s">
        <v>126</v>
      </c>
      <c r="AM43" s="9" t="s">
        <v>126</v>
      </c>
      <c r="AN43" s="15" t="s">
        <v>180</v>
      </c>
      <c r="AO43" s="15" t="s">
        <v>118</v>
      </c>
      <c r="AP43" s="16" t="s">
        <v>128</v>
      </c>
      <c r="AQ43" s="9" t="s">
        <v>120</v>
      </c>
      <c r="AR43" s="9" t="s">
        <v>122</v>
      </c>
      <c r="AS43" s="9" t="s">
        <v>129</v>
      </c>
      <c r="AT43" s="9">
        <v>1.98</v>
      </c>
      <c r="AU43" s="9" t="s">
        <v>163</v>
      </c>
      <c r="AV43" s="23">
        <v>0</v>
      </c>
      <c r="AW43" s="26">
        <v>0.82499999999999574</v>
      </c>
      <c r="AX43" s="19">
        <v>40.069194688804203</v>
      </c>
      <c r="AY43" s="19">
        <v>71.109729863457346</v>
      </c>
      <c r="AZ43" s="20">
        <v>4</v>
      </c>
      <c r="BA43" s="20">
        <v>4</v>
      </c>
      <c r="BB43" s="19">
        <v>31.040535174653144</v>
      </c>
      <c r="BC43" s="21" t="s">
        <v>145</v>
      </c>
      <c r="BD43" s="9" t="s">
        <v>123</v>
      </c>
      <c r="BE43" s="9">
        <v>1</v>
      </c>
      <c r="BF43" s="9">
        <v>33.700000000000003</v>
      </c>
      <c r="BG43" s="9">
        <v>1.6</v>
      </c>
      <c r="BH43" s="9">
        <v>45.7</v>
      </c>
      <c r="BI43" s="9">
        <v>12.4</v>
      </c>
      <c r="BJ43" s="9">
        <v>0</v>
      </c>
      <c r="BK43" s="9">
        <v>6.5</v>
      </c>
      <c r="BL43" s="22">
        <v>3.6875426974732806</v>
      </c>
      <c r="BM43" s="19">
        <v>10.613316613109218</v>
      </c>
      <c r="BN43" s="19">
        <v>19.013946065779699</v>
      </c>
      <c r="BO43" s="19">
        <v>15.873600808088497</v>
      </c>
      <c r="BP43" s="20">
        <v>3</v>
      </c>
      <c r="BQ43" s="20">
        <v>4</v>
      </c>
      <c r="BR43" s="20">
        <v>2</v>
      </c>
      <c r="BS43" s="20">
        <v>4</v>
      </c>
      <c r="BT43" s="20" t="s">
        <v>139</v>
      </c>
    </row>
    <row r="44" spans="1:72" ht="16" x14ac:dyDescent="0.35">
      <c r="A44" t="s">
        <v>254</v>
      </c>
      <c r="B44">
        <v>558</v>
      </c>
      <c r="C44" t="s">
        <v>44</v>
      </c>
      <c r="K44" s="9">
        <v>1</v>
      </c>
      <c r="L44" s="9" t="s">
        <v>124</v>
      </c>
      <c r="M44" s="9"/>
      <c r="N44" s="9"/>
      <c r="O44" s="9"/>
      <c r="P44" s="9"/>
      <c r="Q44" s="10"/>
      <c r="R44" s="11"/>
      <c r="S44" s="9">
        <v>1</v>
      </c>
      <c r="T44" s="9">
        <v>1</v>
      </c>
      <c r="U44" s="9">
        <v>1</v>
      </c>
      <c r="V44" s="9">
        <v>0</v>
      </c>
      <c r="W44" s="9">
        <v>0</v>
      </c>
      <c r="X44" s="9"/>
      <c r="Y44" t="s">
        <v>44</v>
      </c>
      <c r="Z44" t="s">
        <v>44</v>
      </c>
      <c r="AA44" s="12"/>
      <c r="AB44" s="9">
        <v>1</v>
      </c>
      <c r="AC44" s="9"/>
      <c r="AD44" s="13"/>
      <c r="AE44" s="12">
        <v>1</v>
      </c>
      <c r="AF44" s="9"/>
      <c r="AG44" s="12"/>
      <c r="AH44" s="9">
        <v>1</v>
      </c>
      <c r="AI44" s="9">
        <v>2</v>
      </c>
      <c r="AJ44" s="12" t="s">
        <v>116</v>
      </c>
      <c r="AK44" s="9"/>
      <c r="AL44" s="9" t="s">
        <v>126</v>
      </c>
      <c r="AM44" s="9" t="s">
        <v>126</v>
      </c>
      <c r="AN44" s="15" t="s">
        <v>165</v>
      </c>
      <c r="AO44" s="15" t="s">
        <v>118</v>
      </c>
      <c r="AP44" s="16" t="s">
        <v>153</v>
      </c>
      <c r="AQ44" s="9" t="s">
        <v>129</v>
      </c>
      <c r="AR44" s="9">
        <v>3.27</v>
      </c>
      <c r="AS44" s="9" t="s">
        <v>141</v>
      </c>
      <c r="AT44" s="9">
        <v>3.37</v>
      </c>
      <c r="AU44" s="9" t="s">
        <v>163</v>
      </c>
      <c r="AV44" s="23">
        <v>1.6</v>
      </c>
      <c r="AW44" s="26">
        <v>2.3700000000000045</v>
      </c>
      <c r="AX44" s="19">
        <v>27.592201119345191</v>
      </c>
      <c r="AY44" s="19">
        <v>55.037349173929961</v>
      </c>
      <c r="AZ44" s="20">
        <v>3</v>
      </c>
      <c r="BA44" s="20">
        <v>3</v>
      </c>
      <c r="BB44" s="19">
        <v>27.44514805458477</v>
      </c>
      <c r="BC44" s="21" t="s">
        <v>138</v>
      </c>
      <c r="BD44" s="9" t="s">
        <v>131</v>
      </c>
      <c r="BE44" s="9">
        <v>0</v>
      </c>
      <c r="BF44" s="9">
        <v>2.8</v>
      </c>
      <c r="BG44" s="9">
        <v>0</v>
      </c>
      <c r="BH44" s="9">
        <v>8.3000000000000007</v>
      </c>
      <c r="BI44" s="9">
        <v>48.6</v>
      </c>
      <c r="BJ44" s="9">
        <v>0</v>
      </c>
      <c r="BK44" s="9">
        <v>40.200000000000003</v>
      </c>
      <c r="BL44" s="22">
        <v>7.0922173133264863</v>
      </c>
      <c r="BM44" s="19">
        <v>7.5230581403611207</v>
      </c>
      <c r="BN44" s="19">
        <v>22.694186830841968</v>
      </c>
      <c r="BO44" s="19">
        <v>8.8370542567442989</v>
      </c>
      <c r="BP44" s="20">
        <v>3</v>
      </c>
      <c r="BQ44" s="20">
        <v>3</v>
      </c>
      <c r="BR44" s="20">
        <v>3</v>
      </c>
      <c r="BS44" s="20">
        <v>4</v>
      </c>
      <c r="BT44" s="20" t="s">
        <v>139</v>
      </c>
    </row>
    <row r="45" spans="1:72" ht="16" x14ac:dyDescent="0.35">
      <c r="A45" t="s">
        <v>217</v>
      </c>
      <c r="B45">
        <v>278</v>
      </c>
      <c r="C45" t="s">
        <v>45</v>
      </c>
      <c r="K45" s="9">
        <v>1</v>
      </c>
      <c r="L45" s="9" t="s">
        <v>167</v>
      </c>
      <c r="M45" s="9"/>
      <c r="N45" s="9"/>
      <c r="O45" s="9"/>
      <c r="P45" s="9"/>
      <c r="Q45" s="10"/>
      <c r="R45" s="11"/>
      <c r="S45" s="9">
        <v>1</v>
      </c>
      <c r="T45" s="9"/>
      <c r="U45" s="9">
        <v>1</v>
      </c>
      <c r="V45" s="9">
        <v>0</v>
      </c>
      <c r="W45" s="9">
        <v>0</v>
      </c>
      <c r="X45" s="9"/>
      <c r="Y45" t="s">
        <v>45</v>
      </c>
      <c r="Z45" t="s">
        <v>45</v>
      </c>
      <c r="AA45" s="12">
        <v>1</v>
      </c>
      <c r="AB45" s="9">
        <v>1</v>
      </c>
      <c r="AC45" s="9">
        <v>2004</v>
      </c>
      <c r="AD45" s="13"/>
      <c r="AE45" s="12"/>
      <c r="AF45" s="9">
        <v>1</v>
      </c>
      <c r="AG45" s="12"/>
      <c r="AH45" s="9" t="s">
        <v>125</v>
      </c>
      <c r="AI45" s="9">
        <v>3</v>
      </c>
      <c r="AJ45" s="12" t="s">
        <v>135</v>
      </c>
      <c r="AK45" s="9"/>
      <c r="AL45" s="9" t="s">
        <v>135</v>
      </c>
      <c r="AM45" s="9" t="s">
        <v>135</v>
      </c>
      <c r="AN45" s="15" t="s">
        <v>181</v>
      </c>
      <c r="AO45" s="15" t="s">
        <v>118</v>
      </c>
      <c r="AP45" s="16" t="s">
        <v>137</v>
      </c>
      <c r="AQ45" s="9" t="s">
        <v>129</v>
      </c>
      <c r="AR45" s="9">
        <v>3.71</v>
      </c>
      <c r="AS45" s="9" t="s">
        <v>129</v>
      </c>
      <c r="AT45" s="9">
        <v>3.23</v>
      </c>
      <c r="AU45" s="9" t="s">
        <v>121</v>
      </c>
      <c r="AV45" s="23">
        <v>1.5</v>
      </c>
      <c r="AW45" s="26">
        <v>1.5</v>
      </c>
      <c r="AX45" s="19">
        <v>3.8571151720413184</v>
      </c>
      <c r="AY45" s="19">
        <v>4.3042439322716319</v>
      </c>
      <c r="AZ45" s="20">
        <v>1</v>
      </c>
      <c r="BA45" s="20">
        <v>1</v>
      </c>
      <c r="BB45" s="19">
        <v>0.44712876023031356</v>
      </c>
      <c r="BC45" s="21" t="s">
        <v>142</v>
      </c>
      <c r="BD45" s="9" t="s">
        <v>131</v>
      </c>
      <c r="BE45" s="9">
        <v>0</v>
      </c>
      <c r="BF45" s="9">
        <v>0.4</v>
      </c>
      <c r="BG45" s="9">
        <v>0.3</v>
      </c>
      <c r="BH45" s="9">
        <v>22.2</v>
      </c>
      <c r="BI45" s="9">
        <v>13.1</v>
      </c>
      <c r="BJ45" s="9">
        <v>0</v>
      </c>
      <c r="BK45" s="9">
        <v>64.099999999999994</v>
      </c>
      <c r="BL45" s="22">
        <v>6.6386530474102008</v>
      </c>
      <c r="BM45" s="19">
        <v>6.4481822502495527</v>
      </c>
      <c r="BN45" s="19">
        <v>4.1258879058311555</v>
      </c>
      <c r="BO45" s="19">
        <v>6.1752603503472763</v>
      </c>
      <c r="BP45" s="20">
        <v>3</v>
      </c>
      <c r="BQ45" s="20">
        <v>2</v>
      </c>
      <c r="BR45" s="20">
        <v>3</v>
      </c>
      <c r="BS45" s="20">
        <v>2</v>
      </c>
      <c r="BT45" s="20" t="s">
        <v>164</v>
      </c>
    </row>
    <row r="46" spans="1:72" ht="16" x14ac:dyDescent="0.35">
      <c r="A46" t="s">
        <v>255</v>
      </c>
      <c r="B46">
        <v>692</v>
      </c>
      <c r="C46" t="s">
        <v>46</v>
      </c>
      <c r="K46" s="9">
        <v>1</v>
      </c>
      <c r="L46" s="9" t="s">
        <v>133</v>
      </c>
      <c r="M46" s="9" t="s">
        <v>134</v>
      </c>
      <c r="N46" s="9"/>
      <c r="O46" s="9">
        <v>1</v>
      </c>
      <c r="P46" s="9"/>
      <c r="Q46" s="10">
        <v>1</v>
      </c>
      <c r="R46" s="11">
        <v>1</v>
      </c>
      <c r="S46" s="9">
        <v>1</v>
      </c>
      <c r="T46" s="9">
        <v>1</v>
      </c>
      <c r="U46" s="9">
        <v>5</v>
      </c>
      <c r="V46" s="9">
        <v>1</v>
      </c>
      <c r="W46" s="9">
        <v>1</v>
      </c>
      <c r="X46" s="9">
        <v>1</v>
      </c>
      <c r="Y46" t="s">
        <v>46</v>
      </c>
      <c r="Z46" t="s">
        <v>46</v>
      </c>
      <c r="AA46" s="12">
        <v>1</v>
      </c>
      <c r="AB46" s="9">
        <v>1</v>
      </c>
      <c r="AC46" s="9">
        <v>2003</v>
      </c>
      <c r="AD46" s="13"/>
      <c r="AE46" s="12">
        <v>1</v>
      </c>
      <c r="AF46" s="9"/>
      <c r="AG46" s="12"/>
      <c r="AH46" s="9">
        <v>1</v>
      </c>
      <c r="AI46" s="9">
        <v>1</v>
      </c>
      <c r="AJ46" s="12" t="s">
        <v>116</v>
      </c>
      <c r="AK46" s="9"/>
      <c r="AL46" s="9" t="s">
        <v>135</v>
      </c>
      <c r="AM46" s="9" t="s">
        <v>135</v>
      </c>
      <c r="AN46" s="15" t="s">
        <v>165</v>
      </c>
      <c r="AO46" s="15" t="s">
        <v>118</v>
      </c>
      <c r="AP46" s="16" t="s">
        <v>153</v>
      </c>
      <c r="AQ46" s="9" t="s">
        <v>129</v>
      </c>
      <c r="AR46" s="9">
        <v>3.48</v>
      </c>
      <c r="AS46" s="9" t="s">
        <v>129</v>
      </c>
      <c r="AT46" s="9">
        <v>3.36</v>
      </c>
      <c r="AU46" s="9" t="s">
        <v>121</v>
      </c>
      <c r="AV46" s="23">
        <v>2</v>
      </c>
      <c r="AW46" s="26">
        <v>0</v>
      </c>
      <c r="AX46" s="19">
        <v>15.125270460633629</v>
      </c>
      <c r="AY46" s="19">
        <v>49.569727777220521</v>
      </c>
      <c r="AZ46" s="20">
        <v>2</v>
      </c>
      <c r="BA46" s="20">
        <v>3</v>
      </c>
      <c r="BB46" s="19">
        <v>34.444457316586892</v>
      </c>
      <c r="BC46" s="21" t="s">
        <v>145</v>
      </c>
      <c r="BD46" s="9" t="s">
        <v>131</v>
      </c>
      <c r="BE46" s="9">
        <v>1</v>
      </c>
      <c r="BF46" s="9">
        <v>10.5</v>
      </c>
      <c r="BG46" s="9">
        <v>1.8</v>
      </c>
      <c r="BH46" s="9">
        <v>12.2</v>
      </c>
      <c r="BI46" s="9">
        <v>40.299999999999997</v>
      </c>
      <c r="BJ46" s="9">
        <v>0</v>
      </c>
      <c r="BK46" s="9">
        <v>35.200000000000003</v>
      </c>
      <c r="BL46" s="22">
        <v>3.0417812578812717</v>
      </c>
      <c r="BM46" s="19">
        <v>3.1354004512213618</v>
      </c>
      <c r="BN46" s="19">
        <v>8.6216496071261979</v>
      </c>
      <c r="BO46" s="19">
        <v>12.461026722278143</v>
      </c>
      <c r="BP46" s="20">
        <v>1</v>
      </c>
      <c r="BQ46" s="20">
        <v>3</v>
      </c>
      <c r="BR46" s="20">
        <v>2</v>
      </c>
      <c r="BS46" s="20">
        <v>3</v>
      </c>
      <c r="BT46" s="20" t="s">
        <v>139</v>
      </c>
    </row>
    <row r="47" spans="1:72" ht="16" x14ac:dyDescent="0.35">
      <c r="A47" t="s">
        <v>256</v>
      </c>
      <c r="B47">
        <v>853</v>
      </c>
      <c r="C47" t="s">
        <v>47</v>
      </c>
      <c r="K47" s="9">
        <v>1</v>
      </c>
      <c r="L47" s="9" t="s">
        <v>124</v>
      </c>
      <c r="M47" s="9"/>
      <c r="N47" s="9">
        <v>1</v>
      </c>
      <c r="O47" s="9">
        <v>1</v>
      </c>
      <c r="P47" s="9"/>
      <c r="Q47" s="10"/>
      <c r="R47" s="11"/>
      <c r="S47" s="9">
        <v>1</v>
      </c>
      <c r="T47" s="9">
        <v>1</v>
      </c>
      <c r="U47" s="9">
        <v>1</v>
      </c>
      <c r="V47" s="9">
        <v>0</v>
      </c>
      <c r="W47" s="9">
        <v>0</v>
      </c>
      <c r="X47" s="9">
        <v>1</v>
      </c>
      <c r="Y47" t="s">
        <v>47</v>
      </c>
      <c r="Z47" t="s">
        <v>47</v>
      </c>
      <c r="AA47" s="12"/>
      <c r="AB47" s="9">
        <v>1</v>
      </c>
      <c r="AC47" s="9"/>
      <c r="AD47" s="13"/>
      <c r="AE47" s="12">
        <v>1</v>
      </c>
      <c r="AF47" s="9"/>
      <c r="AG47" s="12">
        <v>1</v>
      </c>
      <c r="AH47" s="9" t="s">
        <v>125</v>
      </c>
      <c r="AI47" s="9">
        <v>3</v>
      </c>
      <c r="AJ47" s="12" t="s">
        <v>135</v>
      </c>
      <c r="AK47" s="9"/>
      <c r="AL47" s="9" t="s">
        <v>116</v>
      </c>
      <c r="AM47" s="9" t="s">
        <v>116</v>
      </c>
      <c r="AN47" s="15" t="s">
        <v>136</v>
      </c>
      <c r="AO47" s="15" t="s">
        <v>118</v>
      </c>
      <c r="AP47" s="16" t="s">
        <v>150</v>
      </c>
      <c r="AQ47" s="9" t="s">
        <v>129</v>
      </c>
      <c r="AR47" s="9">
        <v>3.3</v>
      </c>
      <c r="AS47" s="9" t="s">
        <v>120</v>
      </c>
      <c r="AT47" s="9">
        <v>2.85</v>
      </c>
      <c r="AU47" s="9" t="s">
        <v>144</v>
      </c>
      <c r="AV47" s="23">
        <v>8</v>
      </c>
      <c r="AW47" s="26">
        <v>0</v>
      </c>
      <c r="AX47" s="19">
        <v>45.533832226826952</v>
      </c>
      <c r="AY47" s="19">
        <v>54.098568581285264</v>
      </c>
      <c r="AZ47" s="20">
        <v>4</v>
      </c>
      <c r="BA47" s="20">
        <v>3</v>
      </c>
      <c r="BB47" s="19">
        <v>8.5647363544583115</v>
      </c>
      <c r="BC47" s="21" t="s">
        <v>130</v>
      </c>
      <c r="BD47" s="9" t="s">
        <v>131</v>
      </c>
      <c r="BE47" s="9">
        <v>1</v>
      </c>
      <c r="BF47" s="9">
        <v>18.899999999999999</v>
      </c>
      <c r="BG47" s="9">
        <v>12.8</v>
      </c>
      <c r="BH47" s="9">
        <v>13.9</v>
      </c>
      <c r="BI47" s="9">
        <v>11.9</v>
      </c>
      <c r="BJ47" s="9">
        <v>0</v>
      </c>
      <c r="BK47" s="9">
        <v>42.4</v>
      </c>
      <c r="BL47" s="22">
        <v>3.1310306979317444</v>
      </c>
      <c r="BM47" s="19">
        <v>6.5025991297183907</v>
      </c>
      <c r="BN47" s="19">
        <v>5.5928320843563109</v>
      </c>
      <c r="BO47" s="19">
        <v>14.494595682825562</v>
      </c>
      <c r="BP47" s="20">
        <v>3</v>
      </c>
      <c r="BQ47" s="20">
        <v>3</v>
      </c>
      <c r="BR47" s="20">
        <v>2</v>
      </c>
      <c r="BS47" s="20">
        <v>2</v>
      </c>
      <c r="BT47" s="20" t="s">
        <v>152</v>
      </c>
    </row>
    <row r="48" spans="1:72" ht="16" x14ac:dyDescent="0.35">
      <c r="A48" t="s">
        <v>257</v>
      </c>
      <c r="B48">
        <v>714</v>
      </c>
      <c r="C48" t="s">
        <v>48</v>
      </c>
      <c r="K48" s="9">
        <v>1</v>
      </c>
      <c r="L48" s="9" t="s">
        <v>133</v>
      </c>
      <c r="M48" s="9" t="s">
        <v>147</v>
      </c>
      <c r="N48" s="9"/>
      <c r="O48" s="9"/>
      <c r="P48" s="9"/>
      <c r="Q48" s="10">
        <v>1</v>
      </c>
      <c r="R48" s="11">
        <v>1</v>
      </c>
      <c r="S48" s="9">
        <v>1</v>
      </c>
      <c r="T48" s="9"/>
      <c r="U48" s="9">
        <v>3</v>
      </c>
      <c r="V48" s="9">
        <v>1</v>
      </c>
      <c r="W48" s="9">
        <v>1</v>
      </c>
      <c r="X48" s="9"/>
      <c r="Y48" t="s">
        <v>48</v>
      </c>
      <c r="Z48" t="s">
        <v>48</v>
      </c>
      <c r="AA48" s="12">
        <v>1</v>
      </c>
      <c r="AB48" s="9">
        <v>1</v>
      </c>
      <c r="AC48" s="9">
        <v>2005</v>
      </c>
      <c r="AD48" s="13"/>
      <c r="AE48" s="12"/>
      <c r="AF48" s="9">
        <v>1</v>
      </c>
      <c r="AG48" s="12">
        <v>1</v>
      </c>
      <c r="AH48" s="9">
        <v>1</v>
      </c>
      <c r="AI48" s="9">
        <v>1</v>
      </c>
      <c r="AJ48" s="12" t="s">
        <v>116</v>
      </c>
      <c r="AK48" s="9"/>
      <c r="AL48" s="9" t="s">
        <v>135</v>
      </c>
      <c r="AM48" s="9" t="s">
        <v>135</v>
      </c>
      <c r="AN48" s="15" t="s">
        <v>149</v>
      </c>
      <c r="AO48" s="15" t="s">
        <v>118</v>
      </c>
      <c r="AP48" s="16" t="s">
        <v>182</v>
      </c>
      <c r="AQ48" s="9" t="s">
        <v>129</v>
      </c>
      <c r="AR48" s="9">
        <v>3.84</v>
      </c>
      <c r="AS48" s="9" t="s">
        <v>141</v>
      </c>
      <c r="AT48" s="9">
        <v>4.12</v>
      </c>
      <c r="AU48" s="9" t="s">
        <v>163</v>
      </c>
      <c r="AV48" s="23">
        <v>0.75</v>
      </c>
      <c r="AW48" s="26">
        <v>0.32500000000000284</v>
      </c>
      <c r="AX48" s="19">
        <v>18.820008223482091</v>
      </c>
      <c r="AY48" s="19">
        <v>13.326125035451469</v>
      </c>
      <c r="AZ48" s="20">
        <v>2</v>
      </c>
      <c r="BA48" s="20">
        <v>1</v>
      </c>
      <c r="BB48" s="19">
        <v>-5.4938831880306225</v>
      </c>
      <c r="BC48" s="21" t="s">
        <v>151</v>
      </c>
      <c r="BD48" s="9" t="s">
        <v>131</v>
      </c>
      <c r="BE48" s="9">
        <v>0</v>
      </c>
      <c r="BF48" s="9">
        <v>5.3</v>
      </c>
      <c r="BG48" s="9">
        <v>16.7</v>
      </c>
      <c r="BH48" s="9">
        <v>7.9</v>
      </c>
      <c r="BI48" s="9">
        <v>44.9</v>
      </c>
      <c r="BJ48" s="9">
        <v>0.2</v>
      </c>
      <c r="BK48" s="9">
        <v>25</v>
      </c>
      <c r="BL48" s="22">
        <v>6.2758801454497029</v>
      </c>
      <c r="BM48" s="19">
        <v>3.3080730570540728</v>
      </c>
      <c r="BN48" s="19">
        <v>8.9603904101591283</v>
      </c>
      <c r="BO48" s="19">
        <v>11.233015720192572</v>
      </c>
      <c r="BP48" s="20">
        <v>2</v>
      </c>
      <c r="BQ48" s="20">
        <v>3</v>
      </c>
      <c r="BR48" s="20">
        <v>3</v>
      </c>
      <c r="BS48" s="20">
        <v>3</v>
      </c>
      <c r="BT48" s="20" t="s">
        <v>152</v>
      </c>
    </row>
    <row r="49" spans="1:72" ht="16" x14ac:dyDescent="0.35">
      <c r="A49" t="s">
        <v>258</v>
      </c>
      <c r="B49">
        <v>862</v>
      </c>
      <c r="C49" t="s">
        <v>49</v>
      </c>
      <c r="K49" s="9"/>
      <c r="L49" s="9" t="s">
        <v>124</v>
      </c>
      <c r="M49" s="9"/>
      <c r="N49" s="9"/>
      <c r="O49" s="9"/>
      <c r="P49" s="9">
        <v>1</v>
      </c>
      <c r="Q49" s="10"/>
      <c r="R49" s="11"/>
      <c r="S49" s="9">
        <v>0</v>
      </c>
      <c r="T49" s="9"/>
      <c r="U49" s="9"/>
      <c r="V49" s="9">
        <v>0</v>
      </c>
      <c r="W49" s="9">
        <v>0</v>
      </c>
      <c r="X49" s="9"/>
      <c r="Y49" t="s">
        <v>49</v>
      </c>
      <c r="Z49" t="s">
        <v>49</v>
      </c>
      <c r="AA49" s="12"/>
      <c r="AB49" s="9">
        <v>1</v>
      </c>
      <c r="AC49" s="9"/>
      <c r="AD49" s="13"/>
      <c r="AE49" s="12">
        <v>1</v>
      </c>
      <c r="AF49" s="9"/>
      <c r="AG49" s="12"/>
      <c r="AH49" s="9" t="s">
        <v>160</v>
      </c>
      <c r="AI49" s="9">
        <v>4</v>
      </c>
      <c r="AJ49" s="12" t="s">
        <v>126</v>
      </c>
      <c r="AK49" s="9"/>
      <c r="AL49" s="9" t="s">
        <v>135</v>
      </c>
      <c r="AM49" s="9" t="s">
        <v>135</v>
      </c>
      <c r="AN49" s="15" t="s">
        <v>136</v>
      </c>
      <c r="AO49" s="15" t="s">
        <v>118</v>
      </c>
      <c r="AP49" s="16" t="s">
        <v>150</v>
      </c>
      <c r="AQ49" s="9" t="s">
        <v>141</v>
      </c>
      <c r="AR49" s="9">
        <v>4.0599999999999996</v>
      </c>
      <c r="AS49" s="9" t="s">
        <v>141</v>
      </c>
      <c r="AT49" s="9">
        <v>3.96</v>
      </c>
      <c r="AU49" s="9" t="s">
        <v>121</v>
      </c>
      <c r="AV49" s="23">
        <v>2</v>
      </c>
      <c r="AW49" s="26">
        <v>0</v>
      </c>
      <c r="AX49" s="19">
        <v>0</v>
      </c>
      <c r="AY49" s="19">
        <v>4.4182767561836158</v>
      </c>
      <c r="AZ49" s="20">
        <v>1</v>
      </c>
      <c r="BA49" s="20">
        <v>1</v>
      </c>
      <c r="BB49" s="19">
        <v>4.4182767561836158</v>
      </c>
      <c r="BC49" s="21" t="s">
        <v>142</v>
      </c>
      <c r="BD49" s="9" t="s">
        <v>131</v>
      </c>
      <c r="BE49" s="9">
        <v>1</v>
      </c>
      <c r="BF49" s="9">
        <v>39.9</v>
      </c>
      <c r="BG49" s="9">
        <v>0</v>
      </c>
      <c r="BH49" s="9">
        <v>7.7</v>
      </c>
      <c r="BI49" s="9">
        <v>27</v>
      </c>
      <c r="BJ49" s="9">
        <v>0</v>
      </c>
      <c r="BK49" s="9">
        <v>25.5</v>
      </c>
      <c r="BL49" s="22" t="s">
        <v>122</v>
      </c>
      <c r="BM49" s="19" t="s">
        <v>122</v>
      </c>
      <c r="BN49" s="19" t="s">
        <v>122</v>
      </c>
      <c r="BO49" s="19" t="s">
        <v>122</v>
      </c>
      <c r="BP49" s="20" t="s">
        <v>122</v>
      </c>
      <c r="BQ49" s="20" t="s">
        <v>122</v>
      </c>
      <c r="BR49" s="20" t="s">
        <v>122</v>
      </c>
      <c r="BS49" s="20" t="s">
        <v>122</v>
      </c>
      <c r="BT49" s="20" t="s">
        <v>122</v>
      </c>
    </row>
    <row r="50" spans="1:72" ht="16" x14ac:dyDescent="0.35">
      <c r="A50" t="s">
        <v>259</v>
      </c>
      <c r="B50">
        <v>716</v>
      </c>
      <c r="C50" t="s">
        <v>50</v>
      </c>
      <c r="G50" t="s">
        <v>205</v>
      </c>
      <c r="K50" s="9">
        <v>1</v>
      </c>
      <c r="L50" s="9" t="s">
        <v>133</v>
      </c>
      <c r="M50" s="9"/>
      <c r="N50" s="9"/>
      <c r="O50" s="9">
        <v>1</v>
      </c>
      <c r="P50" s="9">
        <v>1</v>
      </c>
      <c r="Q50" s="10"/>
      <c r="R50" s="11"/>
      <c r="S50" s="9">
        <v>1</v>
      </c>
      <c r="T50" s="9">
        <v>1</v>
      </c>
      <c r="U50" s="9">
        <v>6</v>
      </c>
      <c r="V50" s="9">
        <v>1</v>
      </c>
      <c r="W50" s="9">
        <v>1</v>
      </c>
      <c r="X50" s="9"/>
      <c r="Y50" t="s">
        <v>50</v>
      </c>
      <c r="Z50" s="50" t="s">
        <v>205</v>
      </c>
      <c r="AA50" s="12">
        <v>1</v>
      </c>
      <c r="AB50" s="9">
        <v>1</v>
      </c>
      <c r="AC50" s="9">
        <v>2007</v>
      </c>
      <c r="AD50" s="13"/>
      <c r="AE50" s="12">
        <v>1</v>
      </c>
      <c r="AF50" s="9"/>
      <c r="AG50" s="12"/>
      <c r="AH50" s="9" t="s">
        <v>160</v>
      </c>
      <c r="AI50" s="9">
        <v>3</v>
      </c>
      <c r="AJ50" s="12" t="s">
        <v>116</v>
      </c>
      <c r="AK50" s="9" t="s">
        <v>135</v>
      </c>
      <c r="AL50" s="9" t="s">
        <v>161</v>
      </c>
      <c r="AM50" s="9" t="s">
        <v>161</v>
      </c>
      <c r="AN50" s="15" t="s">
        <v>136</v>
      </c>
      <c r="AO50" s="15" t="s">
        <v>158</v>
      </c>
      <c r="AP50" s="16" t="s">
        <v>150</v>
      </c>
      <c r="AQ50" s="9" t="s">
        <v>120</v>
      </c>
      <c r="AR50" s="9">
        <v>3.05</v>
      </c>
      <c r="AS50" s="9" t="s">
        <v>120</v>
      </c>
      <c r="AT50" s="9">
        <v>2.93</v>
      </c>
      <c r="AU50" s="9" t="s">
        <v>121</v>
      </c>
      <c r="AV50" s="23">
        <v>1.7142857142857144</v>
      </c>
      <c r="AW50" s="26">
        <v>0</v>
      </c>
      <c r="AX50" s="19">
        <v>14.315261019491004</v>
      </c>
      <c r="AY50" s="19">
        <v>0</v>
      </c>
      <c r="AZ50" s="20">
        <v>1</v>
      </c>
      <c r="BA50" s="20">
        <v>1</v>
      </c>
      <c r="BB50" s="19">
        <v>-14.315261019491004</v>
      </c>
      <c r="BC50" s="21" t="s">
        <v>151</v>
      </c>
      <c r="BD50" s="9" t="s">
        <v>123</v>
      </c>
      <c r="BE50" s="9">
        <v>0</v>
      </c>
      <c r="BF50" s="9">
        <v>3.3</v>
      </c>
      <c r="BG50" s="9">
        <v>3.5</v>
      </c>
      <c r="BH50" s="9">
        <v>73.7</v>
      </c>
      <c r="BI50" s="9">
        <v>4.5999999999999996</v>
      </c>
      <c r="BJ50" s="9">
        <v>0.3</v>
      </c>
      <c r="BK50" s="9">
        <v>14.4</v>
      </c>
      <c r="BL50" s="22">
        <v>20.036670519540106</v>
      </c>
      <c r="BM50" s="19">
        <v>3.6220910795569177</v>
      </c>
      <c r="BN50" s="19">
        <v>5.8729805990901456</v>
      </c>
      <c r="BO50" s="19">
        <v>4.0824422960704601</v>
      </c>
      <c r="BP50" s="20">
        <v>2</v>
      </c>
      <c r="BQ50" s="20">
        <v>2</v>
      </c>
      <c r="BR50" s="20">
        <v>4</v>
      </c>
      <c r="BS50" s="20">
        <v>3</v>
      </c>
      <c r="BT50" s="20" t="s">
        <v>164</v>
      </c>
    </row>
    <row r="51" spans="1:72" ht="16" x14ac:dyDescent="0.35">
      <c r="A51" t="s">
        <v>218</v>
      </c>
      <c r="B51">
        <v>722</v>
      </c>
      <c r="C51" t="s">
        <v>51</v>
      </c>
      <c r="K51" s="9">
        <v>1</v>
      </c>
      <c r="L51" s="9" t="s">
        <v>133</v>
      </c>
      <c r="M51" s="9" t="s">
        <v>134</v>
      </c>
      <c r="N51" s="9"/>
      <c r="O51" s="9"/>
      <c r="P51" s="9"/>
      <c r="Q51" s="10">
        <v>1</v>
      </c>
      <c r="R51" s="11">
        <v>1</v>
      </c>
      <c r="S51" s="9">
        <v>1</v>
      </c>
      <c r="T51" s="9">
        <v>1</v>
      </c>
      <c r="U51" s="9">
        <v>2</v>
      </c>
      <c r="V51" s="9">
        <v>1</v>
      </c>
      <c r="W51" s="9">
        <v>0</v>
      </c>
      <c r="X51" s="9">
        <v>1</v>
      </c>
      <c r="Y51" t="s">
        <v>51</v>
      </c>
      <c r="Z51" t="s">
        <v>51</v>
      </c>
      <c r="AA51" s="12">
        <v>1</v>
      </c>
      <c r="AB51" s="9">
        <v>1</v>
      </c>
      <c r="AC51" s="9">
        <v>2004</v>
      </c>
      <c r="AD51" s="13"/>
      <c r="AE51" s="12">
        <v>1</v>
      </c>
      <c r="AF51" s="9"/>
      <c r="AG51" s="12">
        <v>1</v>
      </c>
      <c r="AH51" s="9" t="s">
        <v>125</v>
      </c>
      <c r="AI51" s="9">
        <v>2</v>
      </c>
      <c r="AJ51" s="12" t="s">
        <v>126</v>
      </c>
      <c r="AK51" s="9"/>
      <c r="AL51" s="9" t="s">
        <v>135</v>
      </c>
      <c r="AM51" s="9" t="s">
        <v>135</v>
      </c>
      <c r="AN51" s="15" t="s">
        <v>148</v>
      </c>
      <c r="AO51" s="15" t="s">
        <v>118</v>
      </c>
      <c r="AP51" s="16" t="s">
        <v>150</v>
      </c>
      <c r="AQ51" s="9" t="s">
        <v>129</v>
      </c>
      <c r="AR51" s="9">
        <v>3.82</v>
      </c>
      <c r="AS51" s="9" t="s">
        <v>141</v>
      </c>
      <c r="AT51" s="9">
        <v>3.7</v>
      </c>
      <c r="AU51" s="9" t="s">
        <v>163</v>
      </c>
      <c r="AV51" s="23">
        <v>0</v>
      </c>
      <c r="AW51" s="26">
        <v>2.1000000000000014</v>
      </c>
      <c r="AX51" s="19">
        <v>7.6299785291834752</v>
      </c>
      <c r="AY51" s="19">
        <v>33.234759835651332</v>
      </c>
      <c r="AZ51" s="20">
        <v>1</v>
      </c>
      <c r="BA51" s="20">
        <v>2</v>
      </c>
      <c r="BB51" s="19">
        <v>25.604781306467856</v>
      </c>
      <c r="BC51" s="21" t="s">
        <v>138</v>
      </c>
      <c r="BD51" s="9" t="s">
        <v>131</v>
      </c>
      <c r="BE51" s="9">
        <v>0</v>
      </c>
      <c r="BF51" s="9">
        <v>10.3</v>
      </c>
      <c r="BG51" s="9">
        <v>29.6</v>
      </c>
      <c r="BH51" s="9">
        <v>15.2</v>
      </c>
      <c r="BI51" s="9">
        <v>24.7</v>
      </c>
      <c r="BJ51" s="9">
        <v>0.8</v>
      </c>
      <c r="BK51" s="9">
        <v>19.5</v>
      </c>
      <c r="BL51" s="22">
        <v>3.2962843863309796</v>
      </c>
      <c r="BM51" s="19">
        <v>3.8281721647892395</v>
      </c>
      <c r="BN51" s="19">
        <v>14.725608162717545</v>
      </c>
      <c r="BO51" s="19">
        <v>17.769238597424643</v>
      </c>
      <c r="BP51" s="20">
        <v>2</v>
      </c>
      <c r="BQ51" s="20">
        <v>4</v>
      </c>
      <c r="BR51" s="20">
        <v>2</v>
      </c>
      <c r="BS51" s="20">
        <v>4</v>
      </c>
      <c r="BT51" s="20" t="s">
        <v>139</v>
      </c>
    </row>
    <row r="52" spans="1:72" ht="16" x14ac:dyDescent="0.35">
      <c r="A52" t="s">
        <v>260</v>
      </c>
      <c r="B52">
        <v>724</v>
      </c>
      <c r="C52" t="s">
        <v>52</v>
      </c>
      <c r="K52" s="9">
        <v>1</v>
      </c>
      <c r="L52" s="9" t="s">
        <v>133</v>
      </c>
      <c r="M52" s="9"/>
      <c r="N52" s="9">
        <v>1</v>
      </c>
      <c r="O52" s="9"/>
      <c r="P52" s="9"/>
      <c r="Q52" s="10"/>
      <c r="R52" s="11"/>
      <c r="S52" s="9">
        <v>1</v>
      </c>
      <c r="T52" s="9">
        <v>1</v>
      </c>
      <c r="U52" s="9">
        <v>6</v>
      </c>
      <c r="V52" s="9">
        <v>1</v>
      </c>
      <c r="W52" s="9">
        <v>1</v>
      </c>
      <c r="X52" s="9"/>
      <c r="Y52" t="s">
        <v>52</v>
      </c>
      <c r="Z52" t="s">
        <v>52</v>
      </c>
      <c r="AA52" s="12">
        <v>1</v>
      </c>
      <c r="AB52" s="9">
        <v>1</v>
      </c>
      <c r="AC52" s="9">
        <v>2006</v>
      </c>
      <c r="AD52" s="13"/>
      <c r="AE52" s="12">
        <v>1</v>
      </c>
      <c r="AF52" s="9"/>
      <c r="AG52" s="12"/>
      <c r="AH52" s="9">
        <v>1</v>
      </c>
      <c r="AI52" s="9">
        <v>1</v>
      </c>
      <c r="AJ52" s="12" t="s">
        <v>126</v>
      </c>
      <c r="AK52" s="9" t="s">
        <v>135</v>
      </c>
      <c r="AL52" s="9" t="s">
        <v>116</v>
      </c>
      <c r="AM52" s="9" t="s">
        <v>116</v>
      </c>
      <c r="AN52" s="15" t="s">
        <v>175</v>
      </c>
      <c r="AO52" s="15" t="s">
        <v>118</v>
      </c>
      <c r="AP52" s="16" t="s">
        <v>150</v>
      </c>
      <c r="AQ52" s="9" t="s">
        <v>120</v>
      </c>
      <c r="AR52" s="9">
        <v>3.27</v>
      </c>
      <c r="AS52" s="9" t="s">
        <v>129</v>
      </c>
      <c r="AT52" s="9">
        <v>3.2</v>
      </c>
      <c r="AU52" s="9" t="s">
        <v>163</v>
      </c>
      <c r="AV52" s="23">
        <v>7</v>
      </c>
      <c r="AW52" s="26">
        <v>0</v>
      </c>
      <c r="AX52" s="19">
        <v>26.428415000436914</v>
      </c>
      <c r="AY52" s="19">
        <v>54.405025311879754</v>
      </c>
      <c r="AZ52" s="20">
        <v>3</v>
      </c>
      <c r="BA52" s="20">
        <v>3</v>
      </c>
      <c r="BB52" s="19">
        <v>27.97661031144284</v>
      </c>
      <c r="BC52" s="21" t="s">
        <v>138</v>
      </c>
      <c r="BD52" s="9" t="s">
        <v>131</v>
      </c>
      <c r="BE52" s="9">
        <v>0</v>
      </c>
      <c r="BF52" s="9">
        <v>4.9000000000000004</v>
      </c>
      <c r="BG52" s="9">
        <v>16.100000000000001</v>
      </c>
      <c r="BH52" s="9">
        <v>12.5</v>
      </c>
      <c r="BI52" s="9">
        <v>28.6</v>
      </c>
      <c r="BJ52" s="9">
        <v>0</v>
      </c>
      <c r="BK52" s="9">
        <v>37.9</v>
      </c>
      <c r="BL52" s="22">
        <v>18.608447519898004</v>
      </c>
      <c r="BM52" s="19">
        <v>20.98257922034502</v>
      </c>
      <c r="BN52" s="19">
        <v>13.603157815672882</v>
      </c>
      <c r="BO52" s="19">
        <v>20.641352313466239</v>
      </c>
      <c r="BP52" s="20">
        <v>4</v>
      </c>
      <c r="BQ52" s="20">
        <v>4</v>
      </c>
      <c r="BR52" s="20">
        <v>4</v>
      </c>
      <c r="BS52" s="20">
        <v>4</v>
      </c>
      <c r="BT52" s="20" t="s">
        <v>132</v>
      </c>
    </row>
    <row r="53" spans="1:72" ht="16" x14ac:dyDescent="0.35">
      <c r="A53" t="s">
        <v>261</v>
      </c>
      <c r="B53">
        <v>813</v>
      </c>
      <c r="C53" t="s">
        <v>53</v>
      </c>
      <c r="K53" s="9">
        <v>1</v>
      </c>
      <c r="L53" s="9" t="s">
        <v>124</v>
      </c>
      <c r="M53" s="9"/>
      <c r="N53" s="9">
        <v>1</v>
      </c>
      <c r="O53" s="9">
        <v>1</v>
      </c>
      <c r="P53" s="9">
        <v>1</v>
      </c>
      <c r="Q53" s="10"/>
      <c r="R53" s="11"/>
      <c r="S53" s="9">
        <v>1</v>
      </c>
      <c r="T53" s="9"/>
      <c r="U53" s="9">
        <v>2</v>
      </c>
      <c r="V53" s="9">
        <v>1</v>
      </c>
      <c r="W53" s="9">
        <v>0</v>
      </c>
      <c r="X53" s="9"/>
      <c r="Y53" t="s">
        <v>53</v>
      </c>
      <c r="Z53" t="s">
        <v>53</v>
      </c>
      <c r="AA53" s="12"/>
      <c r="AB53" s="9">
        <v>1</v>
      </c>
      <c r="AC53" s="9"/>
      <c r="AD53" s="13"/>
      <c r="AE53" s="12"/>
      <c r="AF53" s="9">
        <v>1</v>
      </c>
      <c r="AG53" s="12"/>
      <c r="AH53" s="9" t="s">
        <v>125</v>
      </c>
      <c r="AI53" s="9">
        <v>3</v>
      </c>
      <c r="AJ53" s="12" t="s">
        <v>116</v>
      </c>
      <c r="AK53" s="9"/>
      <c r="AL53" s="9" t="s">
        <v>135</v>
      </c>
      <c r="AM53" s="9" t="s">
        <v>135</v>
      </c>
      <c r="AN53" s="15" t="s">
        <v>176</v>
      </c>
      <c r="AO53" s="15" t="s">
        <v>118</v>
      </c>
      <c r="AP53" s="16" t="s">
        <v>153</v>
      </c>
      <c r="AQ53" s="9" t="s">
        <v>120</v>
      </c>
      <c r="AR53" s="9">
        <v>2.96</v>
      </c>
      <c r="AS53" s="9" t="s">
        <v>120</v>
      </c>
      <c r="AT53" s="9">
        <v>2.92</v>
      </c>
      <c r="AU53" s="9" t="s">
        <v>121</v>
      </c>
      <c r="AV53" s="23">
        <v>2</v>
      </c>
      <c r="AW53" s="26">
        <v>0</v>
      </c>
      <c r="AX53" s="19">
        <v>31.902115703808718</v>
      </c>
      <c r="AY53" s="19">
        <v>41.565167989588744</v>
      </c>
      <c r="AZ53" s="20">
        <v>3</v>
      </c>
      <c r="BA53" s="20">
        <v>2</v>
      </c>
      <c r="BB53" s="19">
        <v>9.6630522857800258</v>
      </c>
      <c r="BC53" s="21" t="s">
        <v>130</v>
      </c>
      <c r="BD53" s="9" t="s">
        <v>131</v>
      </c>
      <c r="BE53" s="9">
        <v>0</v>
      </c>
      <c r="BF53" s="9">
        <v>0.7</v>
      </c>
      <c r="BG53" s="9">
        <v>0</v>
      </c>
      <c r="BH53" s="9">
        <v>11.7</v>
      </c>
      <c r="BI53" s="9">
        <v>37.9</v>
      </c>
      <c r="BJ53" s="9">
        <v>0</v>
      </c>
      <c r="BK53" s="9">
        <v>49.6</v>
      </c>
      <c r="BL53" s="22">
        <v>2.4900815584064317</v>
      </c>
      <c r="BM53" s="19">
        <v>2.3834019257417904</v>
      </c>
      <c r="BN53" s="19">
        <v>1.469869329379208</v>
      </c>
      <c r="BO53" s="19">
        <v>1.7049343196460385</v>
      </c>
      <c r="BP53" s="20">
        <v>1</v>
      </c>
      <c r="BQ53" s="20">
        <v>1</v>
      </c>
      <c r="BR53" s="20">
        <v>1</v>
      </c>
      <c r="BS53" s="20">
        <v>1</v>
      </c>
      <c r="BT53" s="20" t="s">
        <v>142</v>
      </c>
    </row>
    <row r="54" spans="1:72" ht="16" x14ac:dyDescent="0.35">
      <c r="A54" t="s">
        <v>219</v>
      </c>
      <c r="B54">
        <v>726</v>
      </c>
      <c r="C54" t="s">
        <v>54</v>
      </c>
      <c r="E54" t="s">
        <v>203</v>
      </c>
      <c r="K54" s="9">
        <v>1</v>
      </c>
      <c r="L54" s="9" t="s">
        <v>115</v>
      </c>
      <c r="M54" s="9"/>
      <c r="N54" s="9">
        <v>1</v>
      </c>
      <c r="O54" s="9">
        <v>1</v>
      </c>
      <c r="P54" s="9"/>
      <c r="Q54" s="10"/>
      <c r="R54" s="11"/>
      <c r="S54" s="9">
        <v>1</v>
      </c>
      <c r="T54" s="9">
        <v>1</v>
      </c>
      <c r="U54" s="9">
        <v>2</v>
      </c>
      <c r="V54" s="9">
        <v>1</v>
      </c>
      <c r="W54" s="9">
        <v>0</v>
      </c>
      <c r="X54" s="9"/>
      <c r="Y54" t="s">
        <v>54</v>
      </c>
      <c r="Z54" s="50" t="s">
        <v>203</v>
      </c>
      <c r="AA54" s="12">
        <v>1</v>
      </c>
      <c r="AB54" s="9">
        <v>1</v>
      </c>
      <c r="AC54" s="9">
        <v>2023</v>
      </c>
      <c r="AD54" s="13"/>
      <c r="AE54" s="12"/>
      <c r="AF54" s="9">
        <v>1</v>
      </c>
      <c r="AG54" s="12"/>
      <c r="AH54" s="9">
        <v>1</v>
      </c>
      <c r="AI54" s="9">
        <v>1</v>
      </c>
      <c r="AJ54" s="12"/>
      <c r="AK54" s="9" t="s">
        <v>135</v>
      </c>
      <c r="AL54" s="9" t="s">
        <v>135</v>
      </c>
      <c r="AM54" s="9" t="s">
        <v>135</v>
      </c>
      <c r="AN54" s="15" t="s">
        <v>136</v>
      </c>
      <c r="AO54" s="15" t="s">
        <v>118</v>
      </c>
      <c r="AP54" s="16" t="s">
        <v>153</v>
      </c>
      <c r="AQ54" s="9" t="s">
        <v>122</v>
      </c>
      <c r="AR54" s="9" t="s">
        <v>122</v>
      </c>
      <c r="AS54" s="9" t="s">
        <v>120</v>
      </c>
      <c r="AT54" s="9">
        <v>2.23</v>
      </c>
      <c r="AU54" s="9" t="s">
        <v>122</v>
      </c>
      <c r="AV54" s="23">
        <v>0</v>
      </c>
      <c r="AW54" s="26">
        <v>0</v>
      </c>
      <c r="AX54" s="19" t="s">
        <v>122</v>
      </c>
      <c r="AY54" s="19" t="s">
        <v>122</v>
      </c>
      <c r="AZ54" s="20" t="s">
        <v>122</v>
      </c>
      <c r="BA54" s="20" t="s">
        <v>122</v>
      </c>
      <c r="BB54" s="19" t="s">
        <v>122</v>
      </c>
      <c r="BC54" s="21" t="s">
        <v>122</v>
      </c>
      <c r="BD54" s="9" t="s">
        <v>123</v>
      </c>
      <c r="BE54" s="9">
        <v>0</v>
      </c>
      <c r="BF54" s="9">
        <v>0</v>
      </c>
      <c r="BG54" s="9">
        <v>0</v>
      </c>
      <c r="BH54" s="9">
        <v>70.8</v>
      </c>
      <c r="BI54" s="9">
        <v>15.4</v>
      </c>
      <c r="BJ54" s="9">
        <v>0</v>
      </c>
      <c r="BK54" s="9">
        <v>13.8</v>
      </c>
      <c r="BL54" s="22" t="s">
        <v>122</v>
      </c>
      <c r="BM54" s="19" t="s">
        <v>122</v>
      </c>
      <c r="BN54" s="19">
        <v>0.51895979670045034</v>
      </c>
      <c r="BO54" s="19">
        <v>1.3907031277156716</v>
      </c>
      <c r="BP54" s="20" t="s">
        <v>122</v>
      </c>
      <c r="BQ54" s="20">
        <v>1</v>
      </c>
      <c r="BR54" s="20" t="s">
        <v>122</v>
      </c>
      <c r="BS54" s="20">
        <v>1</v>
      </c>
      <c r="BT54" s="20" t="s">
        <v>122</v>
      </c>
    </row>
    <row r="55" spans="1:72" ht="16" x14ac:dyDescent="0.35">
      <c r="A55" t="s">
        <v>262</v>
      </c>
      <c r="B55">
        <v>733</v>
      </c>
      <c r="C55" t="s">
        <v>55</v>
      </c>
      <c r="E55" t="s">
        <v>122</v>
      </c>
      <c r="K55" s="9">
        <v>1</v>
      </c>
      <c r="L55" s="9" t="s">
        <v>133</v>
      </c>
      <c r="M55" s="9" t="s">
        <v>147</v>
      </c>
      <c r="N55" s="9">
        <v>1</v>
      </c>
      <c r="O55" s="9">
        <v>1</v>
      </c>
      <c r="P55" s="9"/>
      <c r="Q55" s="10">
        <v>1</v>
      </c>
      <c r="R55" s="11">
        <v>1</v>
      </c>
      <c r="S55" s="9">
        <v>0</v>
      </c>
      <c r="T55" s="9"/>
      <c r="U55" s="9"/>
      <c r="V55" s="9">
        <v>0</v>
      </c>
      <c r="W55" s="9">
        <v>0</v>
      </c>
      <c r="X55" s="9"/>
      <c r="Y55" t="s">
        <v>55</v>
      </c>
      <c r="Z55" t="s">
        <v>281</v>
      </c>
      <c r="AA55" s="12"/>
      <c r="AB55" s="9">
        <v>1</v>
      </c>
      <c r="AC55" s="9"/>
      <c r="AD55" s="13">
        <v>1</v>
      </c>
      <c r="AE55" s="12"/>
      <c r="AF55" s="9">
        <v>1</v>
      </c>
      <c r="AG55" s="12"/>
      <c r="AH55" s="9">
        <v>1</v>
      </c>
      <c r="AI55" s="9">
        <v>1</v>
      </c>
      <c r="AJ55" s="12"/>
      <c r="AK55" s="9"/>
      <c r="AL55" s="9" t="s">
        <v>116</v>
      </c>
      <c r="AM55" s="9" t="s">
        <v>116</v>
      </c>
      <c r="AN55" s="15" t="s">
        <v>127</v>
      </c>
      <c r="AO55" s="15" t="s">
        <v>158</v>
      </c>
      <c r="AP55" s="16" t="s">
        <v>150</v>
      </c>
      <c r="AQ55" s="9" t="s">
        <v>120</v>
      </c>
      <c r="AR55" s="9">
        <v>2.12</v>
      </c>
      <c r="AS55" s="9" t="s">
        <v>120</v>
      </c>
      <c r="AT55" s="9">
        <v>1.67</v>
      </c>
      <c r="AU55" s="9" t="s">
        <v>121</v>
      </c>
      <c r="AV55" s="23">
        <v>2</v>
      </c>
      <c r="AW55" s="26">
        <v>0</v>
      </c>
      <c r="AX55" s="19" t="s">
        <v>122</v>
      </c>
      <c r="AY55" s="19" t="s">
        <v>122</v>
      </c>
      <c r="AZ55" s="20" t="s">
        <v>122</v>
      </c>
      <c r="BA55" s="20" t="s">
        <v>122</v>
      </c>
      <c r="BB55" s="19" t="s">
        <v>122</v>
      </c>
      <c r="BC55" s="21" t="s">
        <v>122</v>
      </c>
      <c r="BD55" s="9" t="s">
        <v>122</v>
      </c>
      <c r="BE55" s="9" t="s">
        <v>122</v>
      </c>
      <c r="BF55" s="9" t="s">
        <v>122</v>
      </c>
      <c r="BG55" s="9" t="s">
        <v>122</v>
      </c>
      <c r="BH55" s="9" t="s">
        <v>122</v>
      </c>
      <c r="BI55" s="9" t="s">
        <v>122</v>
      </c>
      <c r="BJ55" s="9" t="s">
        <v>122</v>
      </c>
      <c r="BK55" s="9" t="s">
        <v>122</v>
      </c>
      <c r="BL55" s="22" t="s">
        <v>122</v>
      </c>
      <c r="BM55" s="19" t="s">
        <v>122</v>
      </c>
      <c r="BN55" s="19">
        <v>2.2256252775101335</v>
      </c>
      <c r="BO55" s="19">
        <v>4.5297174799335975</v>
      </c>
      <c r="BP55" s="20" t="s">
        <v>122</v>
      </c>
      <c r="BQ55" s="20">
        <v>2</v>
      </c>
      <c r="BR55" s="20" t="s">
        <v>122</v>
      </c>
      <c r="BS55" s="20">
        <v>1</v>
      </c>
      <c r="BT55" s="20" t="s">
        <v>122</v>
      </c>
    </row>
    <row r="56" spans="1:72" ht="16" x14ac:dyDescent="0.25">
      <c r="A56" t="s">
        <v>263</v>
      </c>
      <c r="B56">
        <v>362</v>
      </c>
      <c r="C56" t="s">
        <v>56</v>
      </c>
      <c r="K56" s="9"/>
      <c r="L56" s="9" t="s">
        <v>167</v>
      </c>
      <c r="M56" s="9" t="s">
        <v>168</v>
      </c>
      <c r="N56" s="9"/>
      <c r="O56" s="9"/>
      <c r="P56" s="9">
        <v>1</v>
      </c>
      <c r="Q56" s="10">
        <v>1</v>
      </c>
      <c r="R56" s="11"/>
      <c r="S56" s="9">
        <v>0</v>
      </c>
      <c r="T56" s="9"/>
      <c r="U56" s="9"/>
      <c r="V56" s="9">
        <v>0</v>
      </c>
      <c r="W56" s="9">
        <v>0</v>
      </c>
      <c r="X56" s="9"/>
      <c r="Y56" t="s">
        <v>56</v>
      </c>
      <c r="Z56" t="s">
        <v>56</v>
      </c>
      <c r="AA56" s="12"/>
      <c r="AB56" s="9">
        <v>1</v>
      </c>
      <c r="AC56" s="9"/>
      <c r="AD56" s="13"/>
      <c r="AE56" s="12">
        <v>1</v>
      </c>
      <c r="AF56" s="9"/>
      <c r="AG56" s="12"/>
      <c r="AH56" s="9" t="s">
        <v>160</v>
      </c>
      <c r="AI56" s="9">
        <v>4</v>
      </c>
      <c r="AJ56" s="12"/>
      <c r="AK56" s="9"/>
      <c r="AL56" s="27" t="s">
        <v>170</v>
      </c>
      <c r="AM56" s="27" t="s">
        <v>116</v>
      </c>
      <c r="AN56" s="28" t="s">
        <v>183</v>
      </c>
      <c r="AO56" s="28" t="s">
        <v>170</v>
      </c>
      <c r="AP56" s="29" t="s">
        <v>122</v>
      </c>
      <c r="AQ56" s="9" t="s">
        <v>122</v>
      </c>
      <c r="AR56" s="9">
        <v>3.78</v>
      </c>
      <c r="AS56" s="9" t="s">
        <v>122</v>
      </c>
      <c r="AT56" s="9">
        <v>3.72</v>
      </c>
      <c r="AU56" s="9" t="s">
        <v>122</v>
      </c>
      <c r="AV56" s="25" t="s">
        <v>122</v>
      </c>
      <c r="AW56" s="30" t="s">
        <v>122</v>
      </c>
      <c r="AX56" s="19">
        <v>58.278867664653696</v>
      </c>
      <c r="AY56" s="19">
        <v>49.345253164960511</v>
      </c>
      <c r="AZ56" s="20">
        <v>4</v>
      </c>
      <c r="BA56" s="20">
        <v>3</v>
      </c>
      <c r="BB56" s="19">
        <v>-8.933614499693185</v>
      </c>
      <c r="BC56" s="21" t="s">
        <v>151</v>
      </c>
      <c r="BD56" s="9" t="s">
        <v>131</v>
      </c>
      <c r="BE56" s="9">
        <v>0</v>
      </c>
      <c r="BF56" s="9">
        <v>0</v>
      </c>
      <c r="BG56" s="9">
        <v>40.700000000000003</v>
      </c>
      <c r="BH56" s="9">
        <v>12.6</v>
      </c>
      <c r="BI56" s="9">
        <v>18.899999999999999</v>
      </c>
      <c r="BJ56" s="9">
        <v>0</v>
      </c>
      <c r="BK56" s="9">
        <v>27.8</v>
      </c>
      <c r="BL56" s="22" t="s">
        <v>122</v>
      </c>
      <c r="BM56" s="19">
        <v>13.338365641959321</v>
      </c>
      <c r="BN56" s="19">
        <v>5.8591968361734201</v>
      </c>
      <c r="BO56" s="19">
        <v>14.888733840683098</v>
      </c>
      <c r="BP56" s="20">
        <v>4</v>
      </c>
      <c r="BQ56" s="20">
        <v>4</v>
      </c>
      <c r="BR56" s="20" t="s">
        <v>122</v>
      </c>
      <c r="BS56" s="20">
        <v>3</v>
      </c>
      <c r="BT56" s="20" t="s">
        <v>132</v>
      </c>
    </row>
    <row r="57" spans="1:72" ht="16" x14ac:dyDescent="0.35">
      <c r="A57" t="s">
        <v>264</v>
      </c>
      <c r="B57">
        <v>364</v>
      </c>
      <c r="C57" t="s">
        <v>57</v>
      </c>
      <c r="G57" t="s">
        <v>57</v>
      </c>
      <c r="K57" s="9"/>
      <c r="L57" s="9" t="s">
        <v>167</v>
      </c>
      <c r="M57" s="9" t="s">
        <v>168</v>
      </c>
      <c r="N57" s="9"/>
      <c r="O57" s="9"/>
      <c r="P57" s="9">
        <v>1</v>
      </c>
      <c r="Q57" s="10">
        <v>1</v>
      </c>
      <c r="R57" s="11">
        <v>1</v>
      </c>
      <c r="S57" s="9">
        <v>0</v>
      </c>
      <c r="T57" s="9"/>
      <c r="U57" s="9"/>
      <c r="V57" s="9">
        <v>0</v>
      </c>
      <c r="W57" s="9">
        <v>0</v>
      </c>
      <c r="X57" s="9"/>
      <c r="Y57" t="s">
        <v>57</v>
      </c>
      <c r="Z57" s="50" t="s">
        <v>57</v>
      </c>
      <c r="AA57" s="12"/>
      <c r="AB57" s="9">
        <v>1</v>
      </c>
      <c r="AC57" s="9"/>
      <c r="AD57" s="13"/>
      <c r="AE57" s="12">
        <v>1</v>
      </c>
      <c r="AF57" s="9"/>
      <c r="AG57" s="12"/>
      <c r="AH57" s="9" t="s">
        <v>160</v>
      </c>
      <c r="AI57" s="9">
        <v>4</v>
      </c>
      <c r="AJ57" s="12"/>
      <c r="AK57" s="9"/>
      <c r="AL57" s="9" t="s">
        <v>116</v>
      </c>
      <c r="AM57" s="9" t="s">
        <v>116</v>
      </c>
      <c r="AN57" s="15" t="s">
        <v>165</v>
      </c>
      <c r="AO57" s="15" t="s">
        <v>118</v>
      </c>
      <c r="AP57" s="16" t="s">
        <v>150</v>
      </c>
      <c r="AQ57" s="9" t="s">
        <v>129</v>
      </c>
      <c r="AR57" s="9">
        <v>3.73</v>
      </c>
      <c r="AS57" s="9" t="s">
        <v>129</v>
      </c>
      <c r="AT57" s="9">
        <v>3.66</v>
      </c>
      <c r="AU57" s="9" t="s">
        <v>121</v>
      </c>
      <c r="AV57" s="23">
        <v>0</v>
      </c>
      <c r="AW57" s="26">
        <v>3.4250000000000007</v>
      </c>
      <c r="AX57" s="19">
        <v>15.356748615109055</v>
      </c>
      <c r="AY57" s="19">
        <v>39.0071304280753</v>
      </c>
      <c r="AZ57" s="20">
        <v>2</v>
      </c>
      <c r="BA57" s="20">
        <v>2</v>
      </c>
      <c r="BB57" s="19">
        <v>23.650381812966245</v>
      </c>
      <c r="BC57" s="21" t="s">
        <v>138</v>
      </c>
      <c r="BD57" s="9" t="s">
        <v>131</v>
      </c>
      <c r="BE57" s="9">
        <v>0</v>
      </c>
      <c r="BF57" s="9">
        <v>0.2</v>
      </c>
      <c r="BG57" s="9">
        <v>5.0999999999999996</v>
      </c>
      <c r="BH57" s="9">
        <v>12.2</v>
      </c>
      <c r="BI57" s="9">
        <v>23.2</v>
      </c>
      <c r="BJ57" s="9">
        <v>0</v>
      </c>
      <c r="BK57" s="9">
        <v>59.3</v>
      </c>
      <c r="BL57" s="22" t="s">
        <v>122</v>
      </c>
      <c r="BM57" s="19">
        <v>10.296982348752707</v>
      </c>
      <c r="BN57" s="19">
        <v>9.6377654995154138</v>
      </c>
      <c r="BO57" s="19">
        <v>11.5364019749587</v>
      </c>
      <c r="BP57" s="20">
        <v>3</v>
      </c>
      <c r="BQ57" s="20">
        <v>3</v>
      </c>
      <c r="BR57" s="20" t="s">
        <v>122</v>
      </c>
      <c r="BS57" s="20">
        <v>4</v>
      </c>
      <c r="BT57" s="20" t="s">
        <v>152</v>
      </c>
    </row>
    <row r="58" spans="1:72" ht="16" x14ac:dyDescent="0.35">
      <c r="A58" t="s">
        <v>265</v>
      </c>
      <c r="B58">
        <v>732</v>
      </c>
      <c r="C58" t="s">
        <v>58</v>
      </c>
      <c r="K58" s="9">
        <v>1</v>
      </c>
      <c r="L58" s="9" t="s">
        <v>115</v>
      </c>
      <c r="M58" s="9"/>
      <c r="N58" s="9">
        <v>1</v>
      </c>
      <c r="O58" s="9">
        <v>1</v>
      </c>
      <c r="P58" s="9"/>
      <c r="Q58" s="10"/>
      <c r="R58" s="11"/>
      <c r="S58" s="9">
        <v>1</v>
      </c>
      <c r="T58" s="9"/>
      <c r="U58" s="9">
        <v>1</v>
      </c>
      <c r="V58" s="9">
        <v>0</v>
      </c>
      <c r="W58" s="9">
        <v>0</v>
      </c>
      <c r="X58" s="9"/>
      <c r="Y58" t="s">
        <v>58</v>
      </c>
      <c r="Z58" t="s">
        <v>58</v>
      </c>
      <c r="AA58" s="12">
        <v>2</v>
      </c>
      <c r="AB58" s="9">
        <v>1</v>
      </c>
      <c r="AC58" s="9" t="s">
        <v>122</v>
      </c>
      <c r="AD58" s="13"/>
      <c r="AE58" s="12">
        <v>0</v>
      </c>
      <c r="AF58" s="9">
        <v>0</v>
      </c>
      <c r="AG58" s="12"/>
      <c r="AH58" s="9">
        <v>1</v>
      </c>
      <c r="AI58" s="9">
        <v>1</v>
      </c>
      <c r="AJ58" s="12" t="s">
        <v>161</v>
      </c>
      <c r="AK58" s="9"/>
      <c r="AL58" s="9" t="s">
        <v>161</v>
      </c>
      <c r="AM58" s="9" t="s">
        <v>161</v>
      </c>
      <c r="AN58" s="15" t="s">
        <v>117</v>
      </c>
      <c r="AO58" s="15" t="s">
        <v>158</v>
      </c>
      <c r="AP58" s="16" t="s">
        <v>184</v>
      </c>
      <c r="AQ58" s="9" t="s">
        <v>120</v>
      </c>
      <c r="AR58" s="9">
        <v>2.3199999999999998</v>
      </c>
      <c r="AS58" s="9" t="s">
        <v>120</v>
      </c>
      <c r="AT58" s="9">
        <v>2</v>
      </c>
      <c r="AU58" s="9" t="s">
        <v>121</v>
      </c>
      <c r="AV58" s="23">
        <v>0</v>
      </c>
      <c r="AW58" s="26">
        <v>0</v>
      </c>
      <c r="AX58" s="19">
        <v>59.700193005181042</v>
      </c>
      <c r="AY58" s="19">
        <v>74.427474053171863</v>
      </c>
      <c r="AZ58" s="20">
        <v>4</v>
      </c>
      <c r="BA58" s="20">
        <v>4</v>
      </c>
      <c r="BB58" s="19">
        <v>14.727281047990822</v>
      </c>
      <c r="BC58" s="21" t="s">
        <v>130</v>
      </c>
      <c r="BD58" s="9" t="s">
        <v>123</v>
      </c>
      <c r="BE58" s="9">
        <v>0</v>
      </c>
      <c r="BF58" s="9">
        <v>8.1999999999999993</v>
      </c>
      <c r="BG58" s="9">
        <v>29.4</v>
      </c>
      <c r="BH58" s="9">
        <v>42.7</v>
      </c>
      <c r="BI58" s="9">
        <v>5.8</v>
      </c>
      <c r="BJ58" s="9">
        <v>0</v>
      </c>
      <c r="BK58" s="9">
        <v>14</v>
      </c>
      <c r="BL58" s="22">
        <v>7.1170322579789156</v>
      </c>
      <c r="BM58" s="19">
        <v>5.626242480059247</v>
      </c>
      <c r="BN58" s="19">
        <v>2.5593282643557522</v>
      </c>
      <c r="BO58" s="19">
        <v>3.7260507443112019</v>
      </c>
      <c r="BP58" s="20">
        <v>2</v>
      </c>
      <c r="BQ58" s="20">
        <v>1</v>
      </c>
      <c r="BR58" s="20">
        <v>3</v>
      </c>
      <c r="BS58" s="20">
        <v>1</v>
      </c>
      <c r="BT58" s="20" t="s">
        <v>164</v>
      </c>
    </row>
    <row r="59" spans="1:72" ht="16" x14ac:dyDescent="0.35">
      <c r="A59" t="s">
        <v>266</v>
      </c>
      <c r="B59">
        <v>923</v>
      </c>
      <c r="C59" t="s">
        <v>59</v>
      </c>
      <c r="K59" s="9">
        <v>1</v>
      </c>
      <c r="L59" s="9" t="s">
        <v>115</v>
      </c>
      <c r="M59" s="9"/>
      <c r="N59" s="9">
        <v>1</v>
      </c>
      <c r="O59" s="9"/>
      <c r="P59" s="9"/>
      <c r="Q59" s="10"/>
      <c r="R59" s="11"/>
      <c r="S59" s="9">
        <v>1</v>
      </c>
      <c r="T59" s="9"/>
      <c r="U59" s="9">
        <v>1</v>
      </c>
      <c r="V59" s="9">
        <v>0</v>
      </c>
      <c r="W59" s="9">
        <v>0</v>
      </c>
      <c r="X59" s="9"/>
      <c r="Y59" t="s">
        <v>59</v>
      </c>
      <c r="Z59" t="s">
        <v>59</v>
      </c>
      <c r="AA59" s="12"/>
      <c r="AB59" s="9">
        <v>1</v>
      </c>
      <c r="AC59" s="9"/>
      <c r="AD59" s="13"/>
      <c r="AE59" s="12">
        <v>1</v>
      </c>
      <c r="AF59" s="9"/>
      <c r="AG59" s="12">
        <v>1</v>
      </c>
      <c r="AH59" s="9" t="s">
        <v>160</v>
      </c>
      <c r="AI59" s="9">
        <v>2</v>
      </c>
      <c r="AJ59" s="12" t="s">
        <v>135</v>
      </c>
      <c r="AK59" s="9"/>
      <c r="AL59" s="9" t="s">
        <v>116</v>
      </c>
      <c r="AM59" s="9" t="s">
        <v>116</v>
      </c>
      <c r="AN59" s="15" t="s">
        <v>174</v>
      </c>
      <c r="AO59" s="15" t="s">
        <v>118</v>
      </c>
      <c r="AP59" s="16" t="s">
        <v>119</v>
      </c>
      <c r="AQ59" s="9" t="s">
        <v>120</v>
      </c>
      <c r="AR59" s="9">
        <v>3.38</v>
      </c>
      <c r="AS59" s="9" t="s">
        <v>141</v>
      </c>
      <c r="AT59" s="9">
        <v>3.19</v>
      </c>
      <c r="AU59" s="9" t="s">
        <v>163</v>
      </c>
      <c r="AV59" s="23">
        <v>10.3</v>
      </c>
      <c r="AW59" s="26">
        <v>1.7299999999999969</v>
      </c>
      <c r="AX59" s="19">
        <v>20.420741405028338</v>
      </c>
      <c r="AY59" s="19">
        <v>15.153537639041801</v>
      </c>
      <c r="AZ59" s="20">
        <v>2</v>
      </c>
      <c r="BA59" s="20">
        <v>1</v>
      </c>
      <c r="BB59" s="19" t="e">
        <v>#VALUE!</v>
      </c>
      <c r="BC59" s="21" t="s">
        <v>151</v>
      </c>
      <c r="BD59" s="9" t="s">
        <v>154</v>
      </c>
      <c r="BE59" s="9">
        <v>1</v>
      </c>
      <c r="BF59" s="9">
        <v>40.6</v>
      </c>
      <c r="BG59" s="9">
        <v>12.6</v>
      </c>
      <c r="BH59" s="9">
        <v>5.5</v>
      </c>
      <c r="BI59" s="9">
        <v>12.9</v>
      </c>
      <c r="BJ59" s="9">
        <v>0</v>
      </c>
      <c r="BK59" s="9">
        <v>28.5</v>
      </c>
      <c r="BL59" s="22">
        <v>2.3504315538472995</v>
      </c>
      <c r="BM59" s="19">
        <v>2.4919240691217879</v>
      </c>
      <c r="BN59" s="19">
        <v>5.0805843828215878</v>
      </c>
      <c r="BO59" s="19">
        <v>2.6710583174673017</v>
      </c>
      <c r="BP59" s="20">
        <v>1</v>
      </c>
      <c r="BQ59" s="20">
        <v>1</v>
      </c>
      <c r="BR59" s="20">
        <v>1</v>
      </c>
      <c r="BS59" s="20">
        <v>2</v>
      </c>
      <c r="BT59" s="20" t="s">
        <v>142</v>
      </c>
    </row>
    <row r="60" spans="1:72" ht="16" x14ac:dyDescent="0.35">
      <c r="A60" t="s">
        <v>267</v>
      </c>
      <c r="B60">
        <v>738</v>
      </c>
      <c r="C60" t="s">
        <v>60</v>
      </c>
      <c r="K60" s="9">
        <v>1</v>
      </c>
      <c r="L60" s="9" t="s">
        <v>133</v>
      </c>
      <c r="M60" s="9" t="s">
        <v>147</v>
      </c>
      <c r="N60" s="9"/>
      <c r="O60" s="9"/>
      <c r="P60" s="9"/>
      <c r="Q60" s="10">
        <v>1</v>
      </c>
      <c r="R60" s="11">
        <v>1</v>
      </c>
      <c r="S60" s="9">
        <v>1</v>
      </c>
      <c r="T60" s="9">
        <v>1</v>
      </c>
      <c r="U60" s="9">
        <v>2</v>
      </c>
      <c r="V60" s="9">
        <v>1</v>
      </c>
      <c r="W60" s="9">
        <v>1</v>
      </c>
      <c r="X60" s="9">
        <v>1</v>
      </c>
      <c r="Y60" t="s">
        <v>60</v>
      </c>
      <c r="Z60" t="s">
        <v>60</v>
      </c>
      <c r="AA60" s="12">
        <v>1</v>
      </c>
      <c r="AB60" s="9">
        <v>1</v>
      </c>
      <c r="AC60" s="9">
        <v>2001</v>
      </c>
      <c r="AD60" s="13"/>
      <c r="AE60" s="12">
        <v>1</v>
      </c>
      <c r="AF60" s="9"/>
      <c r="AG60" s="12">
        <v>1</v>
      </c>
      <c r="AH60" s="9">
        <v>1</v>
      </c>
      <c r="AI60" s="9">
        <v>1</v>
      </c>
      <c r="AJ60" s="12" t="s">
        <v>135</v>
      </c>
      <c r="AK60" s="9"/>
      <c r="AL60" s="9" t="s">
        <v>135</v>
      </c>
      <c r="AM60" s="9" t="s">
        <v>135</v>
      </c>
      <c r="AN60" s="15" t="s">
        <v>127</v>
      </c>
      <c r="AO60" s="15" t="s">
        <v>118</v>
      </c>
      <c r="AP60" s="16" t="s">
        <v>150</v>
      </c>
      <c r="AQ60" s="9" t="s">
        <v>141</v>
      </c>
      <c r="AR60" s="9">
        <v>3.75</v>
      </c>
      <c r="AS60" s="9" t="s">
        <v>129</v>
      </c>
      <c r="AT60" s="9">
        <v>3.51</v>
      </c>
      <c r="AU60" s="9" t="s">
        <v>144</v>
      </c>
      <c r="AV60" s="23">
        <v>4.3333333333333339</v>
      </c>
      <c r="AW60" s="26">
        <v>0</v>
      </c>
      <c r="AX60" s="19">
        <v>15.422279646790116</v>
      </c>
      <c r="AY60" s="19">
        <v>35.998942764583347</v>
      </c>
      <c r="AZ60" s="20">
        <v>2</v>
      </c>
      <c r="BA60" s="20">
        <v>2</v>
      </c>
      <c r="BB60" s="19">
        <v>-5.2672037659865367</v>
      </c>
      <c r="BC60" s="21" t="s">
        <v>138</v>
      </c>
      <c r="BD60" s="9" t="s">
        <v>131</v>
      </c>
      <c r="BE60" s="9">
        <v>1</v>
      </c>
      <c r="BF60" s="9">
        <v>14.3</v>
      </c>
      <c r="BG60" s="9">
        <v>12.8</v>
      </c>
      <c r="BH60" s="9">
        <v>11.5</v>
      </c>
      <c r="BI60" s="9">
        <v>44.8</v>
      </c>
      <c r="BJ60" s="9">
        <v>0</v>
      </c>
      <c r="BK60" s="9">
        <v>16.600000000000001</v>
      </c>
      <c r="BL60" s="22">
        <v>4.9660580140214545</v>
      </c>
      <c r="BM60" s="19">
        <v>5.8622951054206114</v>
      </c>
      <c r="BN60" s="19">
        <v>12.961021429101752</v>
      </c>
      <c r="BO60" s="19">
        <v>14.566080795673741</v>
      </c>
      <c r="BP60" s="20">
        <v>3</v>
      </c>
      <c r="BQ60" s="20">
        <v>4</v>
      </c>
      <c r="BR60" s="20">
        <v>3</v>
      </c>
      <c r="BS60" s="20">
        <v>4</v>
      </c>
      <c r="BT60" s="20" t="s">
        <v>139</v>
      </c>
    </row>
    <row r="61" spans="1:72" ht="16" x14ac:dyDescent="0.35">
      <c r="A61" t="s">
        <v>268</v>
      </c>
      <c r="B61">
        <v>537</v>
      </c>
      <c r="C61" t="s">
        <v>61</v>
      </c>
      <c r="K61" s="9">
        <v>1</v>
      </c>
      <c r="L61" s="9" t="s">
        <v>124</v>
      </c>
      <c r="M61" s="9"/>
      <c r="N61" s="9">
        <v>1</v>
      </c>
      <c r="O61" s="9">
        <v>1</v>
      </c>
      <c r="P61" s="9">
        <v>1</v>
      </c>
      <c r="Q61" s="10">
        <v>1</v>
      </c>
      <c r="R61" s="11">
        <v>1</v>
      </c>
      <c r="S61" s="9">
        <v>0</v>
      </c>
      <c r="T61" s="9"/>
      <c r="U61" s="9"/>
      <c r="V61" s="9">
        <v>0</v>
      </c>
      <c r="W61" s="9">
        <v>0</v>
      </c>
      <c r="X61" s="9"/>
      <c r="Y61" t="s">
        <v>61</v>
      </c>
      <c r="Z61" s="50" t="s">
        <v>61</v>
      </c>
      <c r="AA61" s="12"/>
      <c r="AB61" s="9">
        <v>1</v>
      </c>
      <c r="AC61" s="9"/>
      <c r="AD61" s="13"/>
      <c r="AE61" s="12"/>
      <c r="AF61" s="9">
        <v>1</v>
      </c>
      <c r="AG61" s="12"/>
      <c r="AH61" s="9" t="s">
        <v>125</v>
      </c>
      <c r="AI61" s="9">
        <v>3</v>
      </c>
      <c r="AJ61" s="12"/>
      <c r="AK61" s="9"/>
      <c r="AL61" s="9" t="s">
        <v>135</v>
      </c>
      <c r="AM61" s="9" t="s">
        <v>135</v>
      </c>
      <c r="AN61" s="15" t="s">
        <v>171</v>
      </c>
      <c r="AO61" s="15" t="s">
        <v>118</v>
      </c>
      <c r="AP61" s="16" t="s">
        <v>150</v>
      </c>
      <c r="AQ61" s="9" t="s">
        <v>120</v>
      </c>
      <c r="AR61" s="9">
        <v>3.02</v>
      </c>
      <c r="AS61" s="9" t="s">
        <v>120</v>
      </c>
      <c r="AT61" s="9">
        <v>2.79</v>
      </c>
      <c r="AU61" s="9" t="s">
        <v>121</v>
      </c>
      <c r="AV61" s="23">
        <v>0</v>
      </c>
      <c r="AW61" s="26">
        <v>0</v>
      </c>
      <c r="AX61" s="19" t="s">
        <v>122</v>
      </c>
      <c r="AY61" s="19">
        <v>1.5849941958483384</v>
      </c>
      <c r="AZ61" s="20" t="s">
        <v>122</v>
      </c>
      <c r="BA61" s="20">
        <v>1</v>
      </c>
      <c r="BB61" s="19" t="s">
        <v>122</v>
      </c>
      <c r="BC61" s="21" t="s">
        <v>122</v>
      </c>
      <c r="BD61" s="9" t="s">
        <v>131</v>
      </c>
      <c r="BE61" s="9">
        <v>0</v>
      </c>
      <c r="BF61" s="9">
        <v>0</v>
      </c>
      <c r="BG61" s="9">
        <v>0</v>
      </c>
      <c r="BH61" s="9">
        <v>10.199999999999999</v>
      </c>
      <c r="BI61" s="9">
        <v>21.4</v>
      </c>
      <c r="BJ61" s="9">
        <v>0</v>
      </c>
      <c r="BK61" s="9">
        <v>68.400000000000006</v>
      </c>
      <c r="BL61" s="22" t="s">
        <v>122</v>
      </c>
      <c r="BM61" s="19" t="s">
        <v>122</v>
      </c>
      <c r="BN61" s="19">
        <v>5.035392525086861</v>
      </c>
      <c r="BO61" s="19">
        <v>0.76100469097393986</v>
      </c>
      <c r="BP61" s="20" t="s">
        <v>122</v>
      </c>
      <c r="BQ61" s="20">
        <v>1</v>
      </c>
      <c r="BR61" s="20" t="s">
        <v>122</v>
      </c>
      <c r="BS61" s="20">
        <v>2</v>
      </c>
      <c r="BT61" s="20" t="s">
        <v>122</v>
      </c>
    </row>
    <row r="62" spans="1:72" ht="16" x14ac:dyDescent="0.35">
      <c r="A62" t="s">
        <v>269</v>
      </c>
      <c r="B62">
        <v>742</v>
      </c>
      <c r="C62" t="s">
        <v>62</v>
      </c>
      <c r="K62" s="9">
        <v>1</v>
      </c>
      <c r="L62" s="9" t="s">
        <v>133</v>
      </c>
      <c r="M62" s="9" t="s">
        <v>134</v>
      </c>
      <c r="N62" s="9"/>
      <c r="O62" s="9"/>
      <c r="P62" s="9"/>
      <c r="Q62" s="10">
        <v>1</v>
      </c>
      <c r="R62" s="11">
        <v>1</v>
      </c>
      <c r="S62" s="9">
        <v>1</v>
      </c>
      <c r="T62" s="9">
        <v>1</v>
      </c>
      <c r="U62" s="9">
        <v>3</v>
      </c>
      <c r="V62" s="9">
        <v>1</v>
      </c>
      <c r="W62" s="9">
        <v>1</v>
      </c>
      <c r="X62" s="9"/>
      <c r="Y62" t="s">
        <v>62</v>
      </c>
      <c r="Z62" t="s">
        <v>62</v>
      </c>
      <c r="AA62" s="12">
        <v>1</v>
      </c>
      <c r="AB62" s="9">
        <v>1</v>
      </c>
      <c r="AC62" s="9">
        <v>2010</v>
      </c>
      <c r="AD62" s="13"/>
      <c r="AE62" s="12">
        <v>1</v>
      </c>
      <c r="AF62" s="9"/>
      <c r="AG62" s="12">
        <v>1</v>
      </c>
      <c r="AH62" s="9">
        <v>1</v>
      </c>
      <c r="AI62" s="9">
        <v>1</v>
      </c>
      <c r="AJ62" s="12" t="s">
        <v>161</v>
      </c>
      <c r="AK62" s="9" t="s">
        <v>135</v>
      </c>
      <c r="AL62" s="9" t="s">
        <v>135</v>
      </c>
      <c r="AM62" s="9" t="s">
        <v>116</v>
      </c>
      <c r="AN62" s="15" t="s">
        <v>136</v>
      </c>
      <c r="AO62" s="15" t="s">
        <v>118</v>
      </c>
      <c r="AP62" s="16" t="s">
        <v>150</v>
      </c>
      <c r="AQ62" s="9" t="s">
        <v>120</v>
      </c>
      <c r="AR62" s="9">
        <v>2.97</v>
      </c>
      <c r="AS62" s="9" t="s">
        <v>129</v>
      </c>
      <c r="AT62" s="9">
        <v>3.77</v>
      </c>
      <c r="AU62" s="9" t="s">
        <v>163</v>
      </c>
      <c r="AV62" s="23">
        <v>0</v>
      </c>
      <c r="AW62" s="26">
        <v>6.8000000000000007</v>
      </c>
      <c r="AX62" s="19">
        <v>22.163650201206337</v>
      </c>
      <c r="AY62" s="19">
        <v>67.373230268243248</v>
      </c>
      <c r="AZ62" s="20">
        <v>2</v>
      </c>
      <c r="BA62" s="20">
        <v>4</v>
      </c>
      <c r="BB62" s="19" t="e">
        <v>#VALUE!</v>
      </c>
      <c r="BC62" s="21" t="s">
        <v>145</v>
      </c>
      <c r="BD62" s="9" t="s">
        <v>131</v>
      </c>
      <c r="BE62" s="9">
        <v>1</v>
      </c>
      <c r="BF62" s="9">
        <v>36.6</v>
      </c>
      <c r="BG62" s="9">
        <v>8.3000000000000007</v>
      </c>
      <c r="BH62" s="9">
        <v>8.1999999999999993</v>
      </c>
      <c r="BI62" s="9">
        <v>11.3</v>
      </c>
      <c r="BJ62" s="9">
        <v>0</v>
      </c>
      <c r="BK62" s="9">
        <v>35.5</v>
      </c>
      <c r="BL62" s="22">
        <v>2.7097276156705545</v>
      </c>
      <c r="BM62" s="19">
        <v>6.1666566113139449</v>
      </c>
      <c r="BN62" s="19">
        <v>9.2513866370534483</v>
      </c>
      <c r="BO62" s="19">
        <v>12.512098530246895</v>
      </c>
      <c r="BP62" s="20">
        <v>3</v>
      </c>
      <c r="BQ62" s="20">
        <v>3</v>
      </c>
      <c r="BR62" s="20">
        <v>2</v>
      </c>
      <c r="BS62" s="20">
        <v>3</v>
      </c>
      <c r="BT62" s="20" t="s">
        <v>139</v>
      </c>
    </row>
    <row r="63" spans="1:72" ht="16" x14ac:dyDescent="0.35">
      <c r="A63" t="s">
        <v>270</v>
      </c>
      <c r="B63">
        <v>866</v>
      </c>
      <c r="C63" t="s">
        <v>63</v>
      </c>
      <c r="K63" s="9"/>
      <c r="L63" s="9" t="s">
        <v>124</v>
      </c>
      <c r="M63" s="9"/>
      <c r="N63" s="9"/>
      <c r="O63" s="9"/>
      <c r="P63" s="9">
        <v>1</v>
      </c>
      <c r="Q63" s="10"/>
      <c r="R63" s="11"/>
      <c r="S63" s="9">
        <v>0</v>
      </c>
      <c r="T63" s="9"/>
      <c r="U63" s="9"/>
      <c r="V63" s="9">
        <v>0</v>
      </c>
      <c r="W63" s="9">
        <v>0</v>
      </c>
      <c r="X63" s="9"/>
      <c r="Y63" t="s">
        <v>63</v>
      </c>
      <c r="Z63" t="s">
        <v>63</v>
      </c>
      <c r="AA63" s="12"/>
      <c r="AB63" s="9">
        <v>1</v>
      </c>
      <c r="AC63" s="9"/>
      <c r="AD63" s="13"/>
      <c r="AE63" s="12">
        <v>1</v>
      </c>
      <c r="AF63" s="9"/>
      <c r="AG63" s="12"/>
      <c r="AH63" s="9" t="s">
        <v>160</v>
      </c>
      <c r="AI63" s="9">
        <v>4</v>
      </c>
      <c r="AJ63" s="12" t="s">
        <v>116</v>
      </c>
      <c r="AK63" s="9"/>
      <c r="AL63" s="9" t="s">
        <v>116</v>
      </c>
      <c r="AM63" s="9" t="s">
        <v>116</v>
      </c>
      <c r="AN63" s="15" t="s">
        <v>171</v>
      </c>
      <c r="AO63" s="15" t="s">
        <v>118</v>
      </c>
      <c r="AP63" s="16" t="s">
        <v>182</v>
      </c>
      <c r="AQ63" s="9" t="s">
        <v>120</v>
      </c>
      <c r="AR63" s="9">
        <v>3.46</v>
      </c>
      <c r="AS63" s="9" t="s">
        <v>141</v>
      </c>
      <c r="AT63" s="9">
        <v>3.46</v>
      </c>
      <c r="AU63" s="9" t="s">
        <v>163</v>
      </c>
      <c r="AV63" s="23">
        <v>2</v>
      </c>
      <c r="AW63" s="26">
        <v>0</v>
      </c>
      <c r="AX63" s="19">
        <v>30.115716745039123</v>
      </c>
      <c r="AY63" s="19">
        <v>32.06058777488299</v>
      </c>
      <c r="AZ63" s="20">
        <v>3</v>
      </c>
      <c r="BA63" s="20">
        <v>2</v>
      </c>
      <c r="BB63" s="19">
        <v>45.20958006703691</v>
      </c>
      <c r="BC63" s="21" t="s">
        <v>152</v>
      </c>
      <c r="BD63" s="9" t="s">
        <v>154</v>
      </c>
      <c r="BE63" s="9">
        <v>1</v>
      </c>
      <c r="BF63" s="9">
        <v>60.7</v>
      </c>
      <c r="BG63" s="9">
        <v>0</v>
      </c>
      <c r="BH63" s="9">
        <v>0</v>
      </c>
      <c r="BI63" s="9">
        <v>21.3</v>
      </c>
      <c r="BJ63" s="9">
        <v>0</v>
      </c>
      <c r="BK63" s="9">
        <v>18</v>
      </c>
      <c r="BL63" s="22">
        <v>4.2463277522530367</v>
      </c>
      <c r="BM63" s="19">
        <v>3.1501019982854666</v>
      </c>
      <c r="BN63" s="19">
        <v>2.4308973876509308</v>
      </c>
      <c r="BO63" s="19">
        <v>0.89316308991020521</v>
      </c>
      <c r="BP63" s="20">
        <v>1</v>
      </c>
      <c r="BQ63" s="20">
        <v>1</v>
      </c>
      <c r="BR63" s="20">
        <v>2</v>
      </c>
      <c r="BS63" s="20">
        <v>1</v>
      </c>
      <c r="BT63" s="20" t="s">
        <v>164</v>
      </c>
    </row>
    <row r="64" spans="1:72" ht="16" x14ac:dyDescent="0.35">
      <c r="A64" t="s">
        <v>271</v>
      </c>
      <c r="B64">
        <v>869</v>
      </c>
      <c r="C64" t="s">
        <v>64</v>
      </c>
      <c r="E64" t="s">
        <v>122</v>
      </c>
      <c r="K64" s="9"/>
      <c r="L64" s="9" t="s">
        <v>124</v>
      </c>
      <c r="M64" s="9"/>
      <c r="N64" s="9">
        <v>1</v>
      </c>
      <c r="O64" s="9">
        <v>1</v>
      </c>
      <c r="P64" s="9">
        <v>1</v>
      </c>
      <c r="Q64" s="10"/>
      <c r="R64" s="11"/>
      <c r="S64" s="9">
        <v>0</v>
      </c>
      <c r="T64" s="9"/>
      <c r="U64" s="9"/>
      <c r="V64" s="9">
        <v>0</v>
      </c>
      <c r="W64" s="9">
        <v>0</v>
      </c>
      <c r="X64" s="9"/>
      <c r="Y64" t="s">
        <v>64</v>
      </c>
      <c r="Z64" t="s">
        <v>281</v>
      </c>
      <c r="AA64" s="12"/>
      <c r="AB64" s="9">
        <v>1</v>
      </c>
      <c r="AC64" s="9"/>
      <c r="AD64" s="13"/>
      <c r="AE64" s="12"/>
      <c r="AF64" s="9">
        <v>1</v>
      </c>
      <c r="AG64" s="12"/>
      <c r="AH64" s="9" t="s">
        <v>160</v>
      </c>
      <c r="AI64" s="9">
        <v>4</v>
      </c>
      <c r="AJ64" s="12"/>
      <c r="AK64" s="9"/>
      <c r="AL64" s="9" t="s">
        <v>116</v>
      </c>
      <c r="AM64" s="9" t="s">
        <v>116</v>
      </c>
      <c r="AN64" s="15" t="s">
        <v>185</v>
      </c>
      <c r="AO64" s="15" t="s">
        <v>118</v>
      </c>
      <c r="AP64" s="16" t="s">
        <v>119</v>
      </c>
      <c r="AQ64" s="9" t="s">
        <v>120</v>
      </c>
      <c r="AR64" s="9">
        <v>2.77</v>
      </c>
      <c r="AS64" s="9" t="s">
        <v>120</v>
      </c>
      <c r="AT64" s="9">
        <v>2.86</v>
      </c>
      <c r="AU64" s="9" t="s">
        <v>121</v>
      </c>
      <c r="AV64" s="23">
        <v>0</v>
      </c>
      <c r="AW64" s="26">
        <v>0</v>
      </c>
      <c r="AX64" s="19" t="s">
        <v>122</v>
      </c>
      <c r="AY64" s="19" t="s">
        <v>122</v>
      </c>
      <c r="AZ64" s="20" t="s">
        <v>122</v>
      </c>
      <c r="BA64" s="20" t="s">
        <v>122</v>
      </c>
      <c r="BB64" s="19" t="s">
        <v>122</v>
      </c>
      <c r="BC64" s="21" t="s">
        <v>122</v>
      </c>
      <c r="BD64" s="9" t="s">
        <v>122</v>
      </c>
      <c r="BE64" s="9" t="s">
        <v>122</v>
      </c>
      <c r="BF64" s="9" t="s">
        <v>122</v>
      </c>
      <c r="BG64" s="9" t="s">
        <v>122</v>
      </c>
      <c r="BH64" s="9" t="s">
        <v>122</v>
      </c>
      <c r="BI64" s="9" t="s">
        <v>122</v>
      </c>
      <c r="BJ64" s="9" t="s">
        <v>122</v>
      </c>
      <c r="BK64" s="9" t="s">
        <v>122</v>
      </c>
      <c r="BL64" s="22">
        <v>2.4688299609262674</v>
      </c>
      <c r="BM64" s="19">
        <v>0.46534399277030236</v>
      </c>
      <c r="BN64" s="19">
        <v>0.30587065805586094</v>
      </c>
      <c r="BO64" s="19">
        <v>4.5450798693644275E-2</v>
      </c>
      <c r="BP64" s="20">
        <v>1</v>
      </c>
      <c r="BQ64" s="20">
        <v>1</v>
      </c>
      <c r="BR64" s="20">
        <v>1</v>
      </c>
      <c r="BS64" s="20">
        <v>1</v>
      </c>
      <c r="BT64" s="20" t="s">
        <v>142</v>
      </c>
    </row>
    <row r="65" spans="1:72" ht="16" x14ac:dyDescent="0.35">
      <c r="A65" t="s">
        <v>220</v>
      </c>
      <c r="B65">
        <v>746</v>
      </c>
      <c r="C65" t="s">
        <v>65</v>
      </c>
      <c r="K65" s="9">
        <v>1</v>
      </c>
      <c r="L65" s="9" t="s">
        <v>133</v>
      </c>
      <c r="M65" s="9" t="s">
        <v>147</v>
      </c>
      <c r="N65" s="9"/>
      <c r="O65" s="9"/>
      <c r="P65" s="9"/>
      <c r="Q65" s="10">
        <v>1</v>
      </c>
      <c r="R65" s="11">
        <v>1</v>
      </c>
      <c r="S65" s="9">
        <v>1</v>
      </c>
      <c r="T65" s="9"/>
      <c r="U65" s="9">
        <v>1</v>
      </c>
      <c r="V65" s="9">
        <v>0</v>
      </c>
      <c r="W65" s="9">
        <v>0</v>
      </c>
      <c r="X65" s="9"/>
      <c r="Y65" t="s">
        <v>65</v>
      </c>
      <c r="Z65" t="s">
        <v>65</v>
      </c>
      <c r="AA65" s="12">
        <v>1</v>
      </c>
      <c r="AB65" s="9">
        <v>1</v>
      </c>
      <c r="AC65" s="9" t="s">
        <v>186</v>
      </c>
      <c r="AD65" s="13"/>
      <c r="AE65" s="12">
        <v>1</v>
      </c>
      <c r="AF65" s="9"/>
      <c r="AG65" s="12"/>
      <c r="AH65" s="9">
        <v>1</v>
      </c>
      <c r="AI65" s="9">
        <v>1</v>
      </c>
      <c r="AJ65" s="12" t="s">
        <v>135</v>
      </c>
      <c r="AK65" s="9"/>
      <c r="AL65" s="9" t="s">
        <v>135</v>
      </c>
      <c r="AM65" s="9" t="s">
        <v>135</v>
      </c>
      <c r="AN65" s="15" t="s">
        <v>140</v>
      </c>
      <c r="AO65" s="15" t="s">
        <v>118</v>
      </c>
      <c r="AP65" s="16" t="s">
        <v>150</v>
      </c>
      <c r="AQ65" s="9" t="s">
        <v>141</v>
      </c>
      <c r="AR65" s="9">
        <v>3.72</v>
      </c>
      <c r="AS65" s="9" t="s">
        <v>129</v>
      </c>
      <c r="AT65" s="9">
        <v>3.55</v>
      </c>
      <c r="AU65" s="9" t="s">
        <v>144</v>
      </c>
      <c r="AV65" s="23">
        <v>9.1</v>
      </c>
      <c r="AW65" s="26">
        <v>2.132000000000005</v>
      </c>
      <c r="AX65" s="19">
        <v>19.0259080062674</v>
      </c>
      <c r="AY65" s="19">
        <v>48.772737574794093</v>
      </c>
      <c r="AZ65" s="20">
        <v>2</v>
      </c>
      <c r="BA65" s="20">
        <v>3</v>
      </c>
      <c r="BB65" s="19" t="e">
        <v>#VALUE!</v>
      </c>
      <c r="BC65" s="21" t="s">
        <v>145</v>
      </c>
      <c r="BD65" s="9" t="s">
        <v>131</v>
      </c>
      <c r="BE65" s="9">
        <v>1</v>
      </c>
      <c r="BF65" s="9">
        <v>20.399999999999999</v>
      </c>
      <c r="BG65" s="9">
        <v>2.2000000000000002</v>
      </c>
      <c r="BH65" s="9">
        <v>7.2</v>
      </c>
      <c r="BI65" s="9">
        <v>42.7</v>
      </c>
      <c r="BJ65" s="9">
        <v>2.4</v>
      </c>
      <c r="BK65" s="9">
        <v>25.2</v>
      </c>
      <c r="BL65" s="22">
        <v>8.7766638268449526</v>
      </c>
      <c r="BM65" s="19">
        <v>7.5951746145022936</v>
      </c>
      <c r="BN65" s="19">
        <v>17.858714767786935</v>
      </c>
      <c r="BO65" s="19">
        <v>24.747589148434209</v>
      </c>
      <c r="BP65" s="20">
        <v>3</v>
      </c>
      <c r="BQ65" s="20">
        <v>4</v>
      </c>
      <c r="BR65" s="20">
        <v>4</v>
      </c>
      <c r="BS65" s="20">
        <v>4</v>
      </c>
      <c r="BT65" s="20" t="s">
        <v>139</v>
      </c>
    </row>
    <row r="66" spans="1:72" ht="16" x14ac:dyDescent="0.35">
      <c r="A66" t="s">
        <v>272</v>
      </c>
      <c r="B66">
        <v>927</v>
      </c>
      <c r="C66" t="s">
        <v>66</v>
      </c>
      <c r="K66" s="9">
        <v>1</v>
      </c>
      <c r="L66" s="9" t="s">
        <v>115</v>
      </c>
      <c r="M66" s="9"/>
      <c r="N66" s="9"/>
      <c r="O66" s="9"/>
      <c r="P66" s="9"/>
      <c r="Q66" s="10"/>
      <c r="R66" s="11"/>
      <c r="S66" s="9">
        <v>0</v>
      </c>
      <c r="T66" s="9"/>
      <c r="U66" s="9"/>
      <c r="V66" s="9">
        <v>0</v>
      </c>
      <c r="W66" s="9">
        <v>0</v>
      </c>
      <c r="X66" s="9"/>
      <c r="Y66" t="s">
        <v>66</v>
      </c>
      <c r="Z66" s="50" t="s">
        <v>66</v>
      </c>
      <c r="AA66" s="12"/>
      <c r="AB66" s="9">
        <v>1</v>
      </c>
      <c r="AC66" s="9"/>
      <c r="AD66" s="13"/>
      <c r="AE66" s="12"/>
      <c r="AF66" s="9">
        <v>1</v>
      </c>
      <c r="AG66" s="12">
        <v>1</v>
      </c>
      <c r="AH66" s="9" t="s">
        <v>125</v>
      </c>
      <c r="AI66" s="9">
        <v>3</v>
      </c>
      <c r="AJ66" s="12"/>
      <c r="AK66" s="9"/>
      <c r="AL66" s="9" t="s">
        <v>126</v>
      </c>
      <c r="AM66" s="9" t="s">
        <v>126</v>
      </c>
      <c r="AN66" s="15" t="s">
        <v>165</v>
      </c>
      <c r="AO66" s="15" t="s">
        <v>118</v>
      </c>
      <c r="AP66" s="16" t="s">
        <v>128</v>
      </c>
      <c r="AQ66" s="9" t="s">
        <v>122</v>
      </c>
      <c r="AR66" s="9">
        <v>3.38</v>
      </c>
      <c r="AS66" s="9" t="s">
        <v>141</v>
      </c>
      <c r="AT66" s="9">
        <v>3.84</v>
      </c>
      <c r="AU66" s="9" t="s">
        <v>122</v>
      </c>
      <c r="AV66" s="23">
        <v>4.2750000000000004</v>
      </c>
      <c r="AW66" s="26">
        <v>1.2749999999999986</v>
      </c>
      <c r="AX66" s="19">
        <v>0</v>
      </c>
      <c r="AY66" s="19">
        <v>8.0478384785520234</v>
      </c>
      <c r="AZ66" s="20">
        <v>1</v>
      </c>
      <c r="BA66" s="20">
        <v>1</v>
      </c>
      <c r="BB66" s="19">
        <v>29.746829568526692</v>
      </c>
      <c r="BC66" s="21" t="s">
        <v>130</v>
      </c>
      <c r="BD66" s="9" t="s">
        <v>131</v>
      </c>
      <c r="BE66" s="9">
        <v>1</v>
      </c>
      <c r="BF66" s="9">
        <v>16.399999999999999</v>
      </c>
      <c r="BG66" s="9">
        <v>12.5</v>
      </c>
      <c r="BH66" s="9">
        <v>18.7</v>
      </c>
      <c r="BI66" s="9">
        <v>17.3</v>
      </c>
      <c r="BJ66" s="9">
        <v>0</v>
      </c>
      <c r="BK66" s="9">
        <v>35.1</v>
      </c>
      <c r="BL66" s="22">
        <v>1.0626467365817773</v>
      </c>
      <c r="BM66" s="19">
        <v>1.3468316907304136</v>
      </c>
      <c r="BN66" s="19">
        <v>5.1927300407092138</v>
      </c>
      <c r="BO66" s="19">
        <v>4.8663464839159944</v>
      </c>
      <c r="BP66" s="20">
        <v>1</v>
      </c>
      <c r="BQ66" s="20">
        <v>2</v>
      </c>
      <c r="BR66" s="20">
        <v>1</v>
      </c>
      <c r="BS66" s="20">
        <v>2</v>
      </c>
      <c r="BT66" s="20" t="s">
        <v>139</v>
      </c>
    </row>
    <row r="67" spans="1:72" ht="16" x14ac:dyDescent="0.35">
      <c r="A67" t="s">
        <v>273</v>
      </c>
      <c r="B67">
        <v>846</v>
      </c>
      <c r="C67" t="s">
        <v>67</v>
      </c>
      <c r="K67" s="9">
        <v>1</v>
      </c>
      <c r="L67" s="9" t="s">
        <v>124</v>
      </c>
      <c r="M67" s="9"/>
      <c r="N67" s="9"/>
      <c r="O67" s="9"/>
      <c r="P67" s="9">
        <v>1</v>
      </c>
      <c r="Q67" s="10"/>
      <c r="R67" s="11"/>
      <c r="S67" s="9">
        <v>0</v>
      </c>
      <c r="T67" s="9"/>
      <c r="U67" s="9"/>
      <c r="V67" s="9">
        <v>0</v>
      </c>
      <c r="W67" s="9">
        <v>0</v>
      </c>
      <c r="X67" s="9"/>
      <c r="Y67" t="s">
        <v>67</v>
      </c>
      <c r="Z67" t="s">
        <v>67</v>
      </c>
      <c r="AA67" s="12"/>
      <c r="AB67" s="9">
        <v>1</v>
      </c>
      <c r="AC67" s="9"/>
      <c r="AD67" s="13"/>
      <c r="AE67" s="12"/>
      <c r="AF67" s="9">
        <v>1</v>
      </c>
      <c r="AG67" s="12"/>
      <c r="AH67" s="9" t="s">
        <v>125</v>
      </c>
      <c r="AI67" s="9">
        <v>3</v>
      </c>
      <c r="AJ67" s="12"/>
      <c r="AK67" s="9"/>
      <c r="AL67" s="9" t="s">
        <v>116</v>
      </c>
      <c r="AM67" s="9" t="s">
        <v>116</v>
      </c>
      <c r="AN67" s="15" t="s">
        <v>187</v>
      </c>
      <c r="AO67" s="15" t="s">
        <v>118</v>
      </c>
      <c r="AP67" s="16" t="s">
        <v>150</v>
      </c>
      <c r="AQ67" s="9" t="s">
        <v>129</v>
      </c>
      <c r="AR67" s="9">
        <v>3.44</v>
      </c>
      <c r="AS67" s="9" t="s">
        <v>129</v>
      </c>
      <c r="AT67" s="9">
        <v>3.3</v>
      </c>
      <c r="AU67" s="9" t="s">
        <v>121</v>
      </c>
      <c r="AV67" s="23">
        <v>11.566666666666666</v>
      </c>
      <c r="AW67" s="26">
        <v>0</v>
      </c>
      <c r="AX67" s="19">
        <v>28.074670780480929</v>
      </c>
      <c r="AY67" s="19">
        <v>22.941310910821329</v>
      </c>
      <c r="AZ67" s="20">
        <v>3</v>
      </c>
      <c r="BA67" s="20">
        <v>1</v>
      </c>
      <c r="BB67" s="19">
        <v>8.0478384785520234</v>
      </c>
      <c r="BC67" s="21" t="s">
        <v>151</v>
      </c>
      <c r="BD67" s="9" t="s">
        <v>154</v>
      </c>
      <c r="BE67" s="9">
        <v>1</v>
      </c>
      <c r="BF67" s="9">
        <v>47.3</v>
      </c>
      <c r="BG67" s="9">
        <v>0</v>
      </c>
      <c r="BH67" s="9">
        <v>16.5</v>
      </c>
      <c r="BI67" s="9">
        <v>17.5</v>
      </c>
      <c r="BJ67" s="9">
        <v>0</v>
      </c>
      <c r="BK67" s="9">
        <v>18.600000000000001</v>
      </c>
      <c r="BL67" s="22">
        <v>1.7286981926769598</v>
      </c>
      <c r="BM67" s="19">
        <v>4.0195668729275642</v>
      </c>
      <c r="BN67" s="19">
        <v>6.1088553620911732</v>
      </c>
      <c r="BO67" s="19">
        <v>3.0327423506448183</v>
      </c>
      <c r="BP67" s="20">
        <v>2</v>
      </c>
      <c r="BQ67" s="20">
        <v>1</v>
      </c>
      <c r="BR67" s="20">
        <v>1</v>
      </c>
      <c r="BS67" s="20">
        <v>3</v>
      </c>
      <c r="BT67" s="20" t="s">
        <v>143</v>
      </c>
    </row>
    <row r="68" spans="1:72" ht="16" x14ac:dyDescent="0.35">
      <c r="A68" t="s">
        <v>274</v>
      </c>
      <c r="B68">
        <v>474</v>
      </c>
      <c r="C68" t="s">
        <v>68</v>
      </c>
      <c r="G68" t="s">
        <v>309</v>
      </c>
      <c r="K68" s="9">
        <v>1</v>
      </c>
      <c r="L68" s="9" t="s">
        <v>115</v>
      </c>
      <c r="M68" s="9"/>
      <c r="N68" s="9">
        <v>1</v>
      </c>
      <c r="O68" s="9">
        <v>1</v>
      </c>
      <c r="P68" s="9"/>
      <c r="Q68" s="10"/>
      <c r="R68" s="11"/>
      <c r="S68" s="9">
        <v>1</v>
      </c>
      <c r="T68" s="9"/>
      <c r="U68" s="9">
        <v>2</v>
      </c>
      <c r="V68" s="9">
        <v>1</v>
      </c>
      <c r="W68" s="9">
        <v>1</v>
      </c>
      <c r="X68" s="9"/>
      <c r="Y68" t="s">
        <v>68</v>
      </c>
      <c r="Z68" s="50" t="s">
        <v>282</v>
      </c>
      <c r="AA68" s="12"/>
      <c r="AB68" s="9">
        <v>1</v>
      </c>
      <c r="AC68" s="9"/>
      <c r="AD68" s="13"/>
      <c r="AE68" s="12">
        <v>1</v>
      </c>
      <c r="AF68" s="9"/>
      <c r="AG68" s="12"/>
      <c r="AH68" s="9">
        <v>1</v>
      </c>
      <c r="AI68" s="9">
        <v>1</v>
      </c>
      <c r="AJ68" s="12"/>
      <c r="AK68" s="9"/>
      <c r="AL68" s="9" t="s">
        <v>170</v>
      </c>
      <c r="AM68" s="9" t="s">
        <v>170</v>
      </c>
      <c r="AN68" s="15" t="s">
        <v>170</v>
      </c>
      <c r="AO68" s="15" t="s">
        <v>118</v>
      </c>
      <c r="AP68" s="16" t="s">
        <v>122</v>
      </c>
      <c r="AQ68" s="9" t="s">
        <v>120</v>
      </c>
      <c r="AR68" s="9">
        <v>2.99</v>
      </c>
      <c r="AS68" s="9" t="s">
        <v>122</v>
      </c>
      <c r="AT68" s="9">
        <v>1.84</v>
      </c>
      <c r="AU68" s="9" t="s">
        <v>122</v>
      </c>
      <c r="AV68" s="25" t="s">
        <v>122</v>
      </c>
      <c r="AW68" s="26" t="s">
        <v>122</v>
      </c>
      <c r="AX68" s="19">
        <v>33.175500511096303</v>
      </c>
      <c r="AY68" s="19">
        <v>57.347225188868364</v>
      </c>
      <c r="AZ68" s="20">
        <v>3</v>
      </c>
      <c r="BA68" s="20">
        <v>4</v>
      </c>
      <c r="BB68" s="19">
        <v>-5.1333598696595999</v>
      </c>
      <c r="BC68" s="21" t="s">
        <v>138</v>
      </c>
      <c r="BD68" s="9" t="s">
        <v>123</v>
      </c>
      <c r="BE68" s="9">
        <v>0</v>
      </c>
      <c r="BF68" s="9">
        <v>3</v>
      </c>
      <c r="BG68" s="9">
        <v>0</v>
      </c>
      <c r="BH68" s="9">
        <v>48.8</v>
      </c>
      <c r="BI68" s="9">
        <v>24.5</v>
      </c>
      <c r="BJ68" s="9">
        <v>0</v>
      </c>
      <c r="BK68" s="9">
        <v>23.7</v>
      </c>
      <c r="BL68" s="22">
        <v>5.2639325671246535</v>
      </c>
      <c r="BM68" s="19">
        <v>6.1600587895348928</v>
      </c>
      <c r="BN68" s="19">
        <v>23.830561980848454</v>
      </c>
      <c r="BO68" s="19">
        <v>25.637437224623522</v>
      </c>
      <c r="BP68" s="20">
        <v>3</v>
      </c>
      <c r="BQ68" s="20">
        <v>4</v>
      </c>
      <c r="BR68" s="20">
        <v>3</v>
      </c>
      <c r="BS68" s="20">
        <v>4</v>
      </c>
      <c r="BT68" s="20" t="s">
        <v>139</v>
      </c>
    </row>
    <row r="69" spans="1:72" ht="16" x14ac:dyDescent="0.35">
      <c r="A69" t="s">
        <v>275</v>
      </c>
      <c r="B69">
        <v>754</v>
      </c>
      <c r="C69" t="s">
        <v>69</v>
      </c>
      <c r="K69" s="9">
        <v>1</v>
      </c>
      <c r="L69" s="9" t="s">
        <v>133</v>
      </c>
      <c r="M69" s="9"/>
      <c r="N69" s="9">
        <v>1</v>
      </c>
      <c r="O69" s="9"/>
      <c r="P69" s="9"/>
      <c r="Q69" s="10"/>
      <c r="R69" s="11"/>
      <c r="S69" s="9">
        <v>1</v>
      </c>
      <c r="T69" s="9">
        <v>1</v>
      </c>
      <c r="U69" s="9">
        <v>2</v>
      </c>
      <c r="V69" s="9">
        <v>1</v>
      </c>
      <c r="W69" s="9">
        <v>1</v>
      </c>
      <c r="X69" s="9"/>
      <c r="Y69" t="s">
        <v>69</v>
      </c>
      <c r="Z69" t="s">
        <v>69</v>
      </c>
      <c r="AA69" s="12">
        <v>1</v>
      </c>
      <c r="AB69" s="9">
        <v>1</v>
      </c>
      <c r="AC69" s="9">
        <v>2005</v>
      </c>
      <c r="AD69" s="24">
        <v>1</v>
      </c>
      <c r="AE69" s="12">
        <v>1</v>
      </c>
      <c r="AF69" s="9"/>
      <c r="AG69" s="12">
        <v>1</v>
      </c>
      <c r="AH69" s="9">
        <v>1</v>
      </c>
      <c r="AI69" s="9">
        <v>1</v>
      </c>
      <c r="AJ69" s="12"/>
      <c r="AK69" s="9"/>
      <c r="AL69" s="9" t="s">
        <v>161</v>
      </c>
      <c r="AM69" s="9" t="s">
        <v>161</v>
      </c>
      <c r="AN69" s="15" t="s">
        <v>127</v>
      </c>
      <c r="AO69" s="15" t="s">
        <v>158</v>
      </c>
      <c r="AP69" s="16" t="s">
        <v>150</v>
      </c>
      <c r="AQ69" s="9" t="s">
        <v>129</v>
      </c>
      <c r="AR69" s="9">
        <v>3.46</v>
      </c>
      <c r="AS69" s="9" t="s">
        <v>120</v>
      </c>
      <c r="AT69" s="9">
        <v>3.24</v>
      </c>
      <c r="AU69" s="9" t="s">
        <v>144</v>
      </c>
      <c r="AV69" s="23">
        <v>8.6666666666666679</v>
      </c>
      <c r="AW69" s="26">
        <v>1.3966666666666683</v>
      </c>
      <c r="AX69" s="19">
        <v>52.01925453465001</v>
      </c>
      <c r="AY69" s="19">
        <v>45.442133420227513</v>
      </c>
      <c r="AZ69" s="20">
        <v>4</v>
      </c>
      <c r="BA69" s="20">
        <v>3</v>
      </c>
      <c r="BB69" s="19">
        <v>24.171724677772062</v>
      </c>
      <c r="BC69" s="21" t="s">
        <v>151</v>
      </c>
      <c r="BD69" s="9" t="s">
        <v>159</v>
      </c>
      <c r="BE69" s="9">
        <v>1</v>
      </c>
      <c r="BF69" s="9">
        <v>35.299999999999997</v>
      </c>
      <c r="BG69" s="9">
        <v>38.200000000000003</v>
      </c>
      <c r="BH69" s="9">
        <v>6</v>
      </c>
      <c r="BI69" s="9">
        <v>10.4</v>
      </c>
      <c r="BJ69" s="9">
        <v>1.3</v>
      </c>
      <c r="BK69" s="9">
        <v>8.8000000000000007</v>
      </c>
      <c r="BL69" s="22">
        <v>6.8475234311039381</v>
      </c>
      <c r="BM69" s="19">
        <v>11.577584813854992</v>
      </c>
      <c r="BN69" s="19">
        <v>10.941602586606608</v>
      </c>
      <c r="BO69" s="19">
        <v>25.37328787860746</v>
      </c>
      <c r="BP69" s="20">
        <v>4</v>
      </c>
      <c r="BQ69" s="20">
        <v>4</v>
      </c>
      <c r="BR69" s="20">
        <v>3</v>
      </c>
      <c r="BS69" s="20">
        <v>4</v>
      </c>
      <c r="BT69" s="20" t="s">
        <v>139</v>
      </c>
    </row>
    <row r="70" spans="1:72" ht="16" x14ac:dyDescent="0.35">
      <c r="A70" t="s">
        <v>276</v>
      </c>
      <c r="B70">
        <v>698</v>
      </c>
      <c r="C70" t="s">
        <v>70</v>
      </c>
      <c r="K70" s="9">
        <v>1</v>
      </c>
      <c r="L70" s="9" t="s">
        <v>133</v>
      </c>
      <c r="M70" s="9"/>
      <c r="N70" s="9">
        <v>1</v>
      </c>
      <c r="O70" s="9">
        <v>1</v>
      </c>
      <c r="P70" s="9"/>
      <c r="Q70" s="31"/>
      <c r="R70" s="32"/>
      <c r="S70" s="9">
        <v>0</v>
      </c>
      <c r="T70" s="9"/>
      <c r="U70" s="9"/>
      <c r="V70" s="9">
        <v>0</v>
      </c>
      <c r="W70" s="9">
        <v>0</v>
      </c>
      <c r="X70" s="9"/>
      <c r="Y70" t="s">
        <v>70</v>
      </c>
      <c r="Z70" t="s">
        <v>70</v>
      </c>
      <c r="AA70" s="12"/>
      <c r="AB70" s="9">
        <v>1</v>
      </c>
      <c r="AC70" s="9"/>
      <c r="AD70" s="13">
        <v>1</v>
      </c>
      <c r="AE70" s="12">
        <v>0</v>
      </c>
      <c r="AF70" s="9">
        <v>0</v>
      </c>
      <c r="AG70" s="12"/>
      <c r="AH70" s="9" t="s">
        <v>160</v>
      </c>
      <c r="AI70" s="9">
        <v>2</v>
      </c>
      <c r="AJ70" s="12" t="s">
        <v>116</v>
      </c>
      <c r="AK70" s="9"/>
      <c r="AL70" s="9" t="s">
        <v>161</v>
      </c>
      <c r="AM70" s="9" t="s">
        <v>161</v>
      </c>
      <c r="AN70" s="15" t="s">
        <v>165</v>
      </c>
      <c r="AO70" s="15" t="s">
        <v>158</v>
      </c>
      <c r="AP70" s="16" t="s">
        <v>184</v>
      </c>
      <c r="AQ70" s="9" t="s">
        <v>120</v>
      </c>
      <c r="AR70" s="9">
        <v>2.23</v>
      </c>
      <c r="AS70" s="9" t="s">
        <v>120</v>
      </c>
      <c r="AT70" s="9">
        <v>2.98</v>
      </c>
      <c r="AU70" s="9" t="s">
        <v>121</v>
      </c>
      <c r="AV70" s="33">
        <v>5.9</v>
      </c>
      <c r="AW70" s="34">
        <v>4.1000000000000014</v>
      </c>
      <c r="AX70" s="19">
        <v>0</v>
      </c>
      <c r="AY70" s="19">
        <v>75.878022329268191</v>
      </c>
      <c r="AZ70" s="20">
        <v>1</v>
      </c>
      <c r="BA70" s="20">
        <v>4</v>
      </c>
      <c r="BB70" s="19">
        <v>-6.5771211144224964</v>
      </c>
      <c r="BC70" s="35" t="s">
        <v>145</v>
      </c>
      <c r="BD70" s="9" t="s">
        <v>154</v>
      </c>
      <c r="BE70" s="9">
        <v>1</v>
      </c>
      <c r="BF70" s="9">
        <v>32</v>
      </c>
      <c r="BG70" s="9">
        <v>11.7</v>
      </c>
      <c r="BH70" s="9">
        <v>25.3</v>
      </c>
      <c r="BI70" s="9">
        <v>20.2</v>
      </c>
      <c r="BJ70" s="9">
        <v>1.9</v>
      </c>
      <c r="BK70" s="9">
        <v>8.9</v>
      </c>
      <c r="BL70" s="22">
        <v>11.999073708525463</v>
      </c>
      <c r="BM70" s="19">
        <v>24.194779870746316</v>
      </c>
      <c r="BN70" s="19">
        <v>3.7532431769455803</v>
      </c>
      <c r="BO70" s="19">
        <v>5.176067633088409</v>
      </c>
      <c r="BP70" s="20">
        <v>4</v>
      </c>
      <c r="BQ70" s="20">
        <v>2</v>
      </c>
      <c r="BR70" s="20">
        <v>4</v>
      </c>
      <c r="BS70" s="36">
        <v>2</v>
      </c>
      <c r="BT70" s="36" t="s">
        <v>164</v>
      </c>
    </row>
  </sheetData>
  <autoFilter ref="B1:BT70" xr:uid="{E4294E48-5C75-45AD-B6F7-46496C341A74}"/>
  <conditionalFormatting sqref="AV2:AV70">
    <cfRule type="aboveAverage" dxfId="2" priority="8" aboveAverage="0"/>
    <cfRule type="aboveAverage" dxfId="1" priority="9"/>
  </conditionalFormatting>
  <conditionalFormatting sqref="AW3:AW70">
    <cfRule type="cellIs" dxfId="0" priority="1" operator="greaterThan">
      <formula>0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C2529-749D-440D-B0AE-815B240D7B42}">
  <dimension ref="A1:U14"/>
  <sheetViews>
    <sheetView workbookViewId="0">
      <selection activeCell="B3" sqref="B3"/>
    </sheetView>
  </sheetViews>
  <sheetFormatPr defaultRowHeight="12.5" x14ac:dyDescent="0.25"/>
  <sheetData>
    <row r="1" spans="1:21" x14ac:dyDescent="0.25">
      <c r="A1" t="s">
        <v>1</v>
      </c>
      <c r="B1" s="37" t="s">
        <v>0</v>
      </c>
      <c r="C1" s="37" t="s">
        <v>285</v>
      </c>
      <c r="D1" s="37" t="s">
        <v>284</v>
      </c>
      <c r="E1" s="37" t="s">
        <v>289</v>
      </c>
      <c r="F1" s="37" t="s">
        <v>288</v>
      </c>
      <c r="G1" s="37" t="s">
        <v>287</v>
      </c>
      <c r="H1" s="37" t="s">
        <v>303</v>
      </c>
      <c r="I1" s="37" t="s">
        <v>304</v>
      </c>
      <c r="J1" s="37" t="s">
        <v>305</v>
      </c>
      <c r="K1" s="37" t="s">
        <v>188</v>
      </c>
      <c r="L1" s="37" t="s">
        <v>92</v>
      </c>
      <c r="M1" s="37" t="s">
        <v>301</v>
      </c>
      <c r="N1" s="37" t="s">
        <v>189</v>
      </c>
      <c r="O1" s="37" t="s">
        <v>190</v>
      </c>
      <c r="P1" s="37" t="s">
        <v>191</v>
      </c>
      <c r="Q1" s="37" t="s">
        <v>192</v>
      </c>
      <c r="R1" s="37" t="s">
        <v>193</v>
      </c>
      <c r="S1" s="38" t="s">
        <v>194</v>
      </c>
      <c r="T1" s="38" t="s">
        <v>195</v>
      </c>
      <c r="U1" s="38" t="s">
        <v>196</v>
      </c>
    </row>
    <row r="2" spans="1:21" ht="16" x14ac:dyDescent="0.3">
      <c r="A2">
        <v>628</v>
      </c>
      <c r="B2" s="40" t="s">
        <v>12</v>
      </c>
      <c r="C2" s="41" t="s">
        <v>133</v>
      </c>
      <c r="D2" s="41">
        <v>1</v>
      </c>
      <c r="E2" s="40">
        <v>0</v>
      </c>
      <c r="F2" s="40">
        <v>1</v>
      </c>
      <c r="G2" s="40">
        <v>1</v>
      </c>
      <c r="H2" s="40">
        <v>1</v>
      </c>
      <c r="I2" s="40">
        <v>1</v>
      </c>
      <c r="J2" s="40">
        <v>1</v>
      </c>
      <c r="K2" s="42" t="s">
        <v>119</v>
      </c>
      <c r="L2" s="43" t="s">
        <v>121</v>
      </c>
      <c r="M2" s="44"/>
      <c r="N2" s="43" t="s">
        <v>159</v>
      </c>
      <c r="O2" s="43">
        <v>9.6999999999999993</v>
      </c>
      <c r="P2" s="43">
        <v>39.799999999999997</v>
      </c>
      <c r="Q2" s="45" t="s">
        <v>145</v>
      </c>
      <c r="R2" s="46">
        <v>61.878561577868595</v>
      </c>
      <c r="S2" s="39">
        <v>1</v>
      </c>
      <c r="T2" s="39">
        <v>1</v>
      </c>
      <c r="U2" s="39">
        <v>1</v>
      </c>
    </row>
    <row r="3" spans="1:21" ht="16" x14ac:dyDescent="0.3">
      <c r="A3">
        <v>634</v>
      </c>
      <c r="B3" s="40" t="s">
        <v>197</v>
      </c>
      <c r="C3" s="41" t="s">
        <v>133</v>
      </c>
      <c r="D3" s="41">
        <v>1</v>
      </c>
      <c r="E3" s="40">
        <v>0</v>
      </c>
      <c r="F3" s="40">
        <v>1</v>
      </c>
      <c r="G3" s="40">
        <v>1</v>
      </c>
      <c r="H3" s="40">
        <v>1</v>
      </c>
      <c r="I3" s="40">
        <v>1</v>
      </c>
      <c r="J3" s="40">
        <v>1</v>
      </c>
      <c r="K3" s="42" t="s">
        <v>150</v>
      </c>
      <c r="L3" s="43" t="s">
        <v>121</v>
      </c>
      <c r="M3" s="44">
        <v>1</v>
      </c>
      <c r="N3" s="43" t="s">
        <v>154</v>
      </c>
      <c r="O3" s="43">
        <v>47</v>
      </c>
      <c r="P3" s="43">
        <v>31.9</v>
      </c>
      <c r="Q3" s="45" t="s">
        <v>145</v>
      </c>
      <c r="R3" s="46">
        <v>51.381903494602447</v>
      </c>
      <c r="S3" s="39">
        <v>1</v>
      </c>
      <c r="T3" s="39">
        <v>1</v>
      </c>
      <c r="U3" s="39">
        <v>1</v>
      </c>
    </row>
    <row r="4" spans="1:21" ht="16" x14ac:dyDescent="0.3">
      <c r="A4">
        <v>652</v>
      </c>
      <c r="B4" s="40" t="s">
        <v>22</v>
      </c>
      <c r="C4" s="40" t="s">
        <v>133</v>
      </c>
      <c r="D4" s="40">
        <v>1</v>
      </c>
      <c r="E4" s="40">
        <v>0</v>
      </c>
      <c r="F4" s="40">
        <v>0</v>
      </c>
      <c r="G4" s="40">
        <v>1</v>
      </c>
      <c r="H4" s="40">
        <v>1</v>
      </c>
      <c r="I4" s="40">
        <v>1</v>
      </c>
      <c r="J4" s="40" t="s">
        <v>198</v>
      </c>
      <c r="K4" s="47" t="s">
        <v>150</v>
      </c>
      <c r="L4" s="40" t="s">
        <v>144</v>
      </c>
      <c r="M4" s="44">
        <v>1</v>
      </c>
      <c r="N4" s="43" t="s">
        <v>159</v>
      </c>
      <c r="O4" s="43">
        <v>11.1</v>
      </c>
      <c r="P4" s="43">
        <v>50.5</v>
      </c>
      <c r="Q4" s="45" t="s">
        <v>138</v>
      </c>
      <c r="R4" s="46">
        <v>51.453544519797049</v>
      </c>
      <c r="S4" s="39">
        <v>1</v>
      </c>
      <c r="T4" s="39">
        <v>1</v>
      </c>
      <c r="U4" s="39">
        <v>1</v>
      </c>
    </row>
    <row r="5" spans="1:21" ht="16" x14ac:dyDescent="0.3">
      <c r="A5">
        <v>664</v>
      </c>
      <c r="B5" s="40" t="s">
        <v>28</v>
      </c>
      <c r="C5" s="40" t="s">
        <v>133</v>
      </c>
      <c r="D5" s="40">
        <v>1</v>
      </c>
      <c r="E5" s="40">
        <v>0</v>
      </c>
      <c r="F5" s="40">
        <v>0</v>
      </c>
      <c r="G5" s="40">
        <v>0</v>
      </c>
      <c r="H5" s="40">
        <v>1</v>
      </c>
      <c r="I5" s="40">
        <v>0</v>
      </c>
      <c r="J5" s="40">
        <v>0</v>
      </c>
      <c r="K5" s="47" t="s">
        <v>150</v>
      </c>
      <c r="L5" s="40" t="s">
        <v>121</v>
      </c>
      <c r="M5" s="44">
        <v>1</v>
      </c>
      <c r="N5" s="43" t="s">
        <v>131</v>
      </c>
      <c r="O5" s="43">
        <v>21.7</v>
      </c>
      <c r="P5" s="43">
        <v>23.2</v>
      </c>
      <c r="Q5" s="45" t="s">
        <v>130</v>
      </c>
      <c r="R5" s="46">
        <v>49.198649627334049</v>
      </c>
      <c r="S5" s="39">
        <v>1</v>
      </c>
      <c r="T5" s="39">
        <v>1</v>
      </c>
      <c r="U5" s="39">
        <v>1</v>
      </c>
    </row>
    <row r="6" spans="1:21" ht="16" x14ac:dyDescent="0.3">
      <c r="A6">
        <v>688</v>
      </c>
      <c r="B6" s="40" t="s">
        <v>42</v>
      </c>
      <c r="C6" s="40" t="s">
        <v>133</v>
      </c>
      <c r="D6" s="40">
        <v>1</v>
      </c>
      <c r="E6" s="40">
        <v>0</v>
      </c>
      <c r="F6" s="40">
        <v>1</v>
      </c>
      <c r="G6" s="40">
        <v>0</v>
      </c>
      <c r="H6" s="40">
        <v>1</v>
      </c>
      <c r="I6" s="40">
        <v>1</v>
      </c>
      <c r="J6" s="40">
        <v>1</v>
      </c>
      <c r="K6" s="47" t="s">
        <v>150</v>
      </c>
      <c r="L6" s="40" t="s">
        <v>144</v>
      </c>
      <c r="M6" s="44">
        <v>1</v>
      </c>
      <c r="N6" s="43" t="s">
        <v>131</v>
      </c>
      <c r="O6" s="43">
        <v>18.3</v>
      </c>
      <c r="P6" s="43">
        <v>18.100000000000001</v>
      </c>
      <c r="Q6" s="45" t="s">
        <v>138</v>
      </c>
      <c r="R6" s="46">
        <v>51.593393065087668</v>
      </c>
      <c r="S6" s="39">
        <v>1</v>
      </c>
      <c r="T6" s="39">
        <v>1</v>
      </c>
      <c r="U6" s="39">
        <v>1</v>
      </c>
    </row>
    <row r="7" spans="1:21" ht="16" x14ac:dyDescent="0.25">
      <c r="A7">
        <v>722</v>
      </c>
      <c r="B7" s="37" t="s">
        <v>51</v>
      </c>
      <c r="C7" s="37" t="s">
        <v>133</v>
      </c>
      <c r="D7" s="37">
        <v>1</v>
      </c>
      <c r="E7" s="37">
        <v>0</v>
      </c>
      <c r="F7" s="37">
        <v>0</v>
      </c>
      <c r="G7" s="37">
        <v>0</v>
      </c>
      <c r="H7" s="37">
        <v>0</v>
      </c>
      <c r="I7" s="37">
        <v>1</v>
      </c>
      <c r="J7" s="37">
        <v>0</v>
      </c>
      <c r="K7" s="48" t="s">
        <v>150</v>
      </c>
      <c r="L7" s="37" t="s">
        <v>163</v>
      </c>
      <c r="M7" s="12">
        <v>1</v>
      </c>
      <c r="N7" s="9" t="s">
        <v>131</v>
      </c>
      <c r="O7" s="9">
        <v>10.3</v>
      </c>
      <c r="P7" s="9">
        <v>29.6</v>
      </c>
      <c r="Q7" s="21" t="s">
        <v>138</v>
      </c>
      <c r="R7" s="19">
        <v>33.234759835651332</v>
      </c>
      <c r="S7" s="39"/>
      <c r="T7" s="39">
        <v>1</v>
      </c>
      <c r="U7" s="39">
        <v>1</v>
      </c>
    </row>
    <row r="8" spans="1:21" ht="16" x14ac:dyDescent="0.3">
      <c r="A8">
        <v>754</v>
      </c>
      <c r="B8" s="49" t="s">
        <v>69</v>
      </c>
      <c r="C8" s="41" t="s">
        <v>133</v>
      </c>
      <c r="D8" s="41">
        <v>1</v>
      </c>
      <c r="E8" s="40">
        <v>0</v>
      </c>
      <c r="F8" s="40">
        <v>0</v>
      </c>
      <c r="G8" s="40">
        <v>1</v>
      </c>
      <c r="H8" s="40">
        <v>1</v>
      </c>
      <c r="I8" s="40">
        <v>1</v>
      </c>
      <c r="J8" s="40">
        <v>1</v>
      </c>
      <c r="K8" s="47" t="s">
        <v>150</v>
      </c>
      <c r="L8" s="40" t="s">
        <v>144</v>
      </c>
      <c r="M8" s="44">
        <v>1</v>
      </c>
      <c r="N8" s="43" t="s">
        <v>159</v>
      </c>
      <c r="O8" s="43">
        <v>35.299999999999997</v>
      </c>
      <c r="P8" s="43">
        <v>38.200000000000003</v>
      </c>
      <c r="Q8" s="45" t="s">
        <v>151</v>
      </c>
      <c r="R8" s="46">
        <v>45.442133420227513</v>
      </c>
      <c r="S8" s="39">
        <v>1</v>
      </c>
      <c r="T8" s="39">
        <v>1</v>
      </c>
      <c r="U8" s="39">
        <v>1</v>
      </c>
    </row>
    <row r="9" spans="1:21" ht="16" x14ac:dyDescent="0.3">
      <c r="A9">
        <v>544</v>
      </c>
      <c r="B9" s="40" t="s">
        <v>199</v>
      </c>
      <c r="C9" s="40" t="s">
        <v>124</v>
      </c>
      <c r="D9" s="41">
        <v>1</v>
      </c>
      <c r="E9" s="40">
        <v>0</v>
      </c>
      <c r="F9" s="40">
        <v>0</v>
      </c>
      <c r="G9" s="40">
        <v>0</v>
      </c>
      <c r="H9" s="40">
        <v>0</v>
      </c>
      <c r="I9" s="40">
        <v>0</v>
      </c>
      <c r="J9" s="40">
        <v>0</v>
      </c>
      <c r="K9" s="47" t="s">
        <v>153</v>
      </c>
      <c r="L9" s="40" t="s">
        <v>121</v>
      </c>
      <c r="M9" s="44"/>
      <c r="N9" s="43" t="s">
        <v>154</v>
      </c>
      <c r="O9" s="43">
        <v>49.6</v>
      </c>
      <c r="P9" s="43">
        <v>15.1</v>
      </c>
      <c r="Q9" s="45" t="s">
        <v>145</v>
      </c>
      <c r="R9" s="46">
        <v>30.248903800354725</v>
      </c>
      <c r="S9" s="39">
        <v>1</v>
      </c>
      <c r="T9" s="39"/>
      <c r="U9" s="39">
        <v>1</v>
      </c>
    </row>
    <row r="10" spans="1:21" ht="16" x14ac:dyDescent="0.3">
      <c r="A10">
        <v>556</v>
      </c>
      <c r="B10" s="40" t="s">
        <v>36</v>
      </c>
      <c r="C10" s="40" t="s">
        <v>124</v>
      </c>
      <c r="D10" s="41">
        <v>0</v>
      </c>
      <c r="E10" s="40">
        <v>1</v>
      </c>
      <c r="F10" s="40">
        <v>0</v>
      </c>
      <c r="G10" s="40">
        <v>0</v>
      </c>
      <c r="H10" s="40">
        <v>0</v>
      </c>
      <c r="I10" s="40">
        <v>0</v>
      </c>
      <c r="J10" s="40">
        <v>0</v>
      </c>
      <c r="K10" s="47" t="s">
        <v>137</v>
      </c>
      <c r="L10" s="40" t="s">
        <v>121</v>
      </c>
      <c r="M10" s="44"/>
      <c r="N10" s="43" t="s">
        <v>154</v>
      </c>
      <c r="O10" s="43">
        <v>37.1</v>
      </c>
      <c r="P10" s="43">
        <v>18.7</v>
      </c>
      <c r="Q10" s="45" t="s">
        <v>130</v>
      </c>
      <c r="R10" s="46">
        <v>57.771168023530549</v>
      </c>
      <c r="S10" s="39">
        <v>1</v>
      </c>
      <c r="T10" s="39"/>
      <c r="U10" s="39">
        <v>1</v>
      </c>
    </row>
    <row r="11" spans="1:21" ht="16" x14ac:dyDescent="0.3">
      <c r="A11">
        <v>923</v>
      </c>
      <c r="B11" s="40" t="s">
        <v>59</v>
      </c>
      <c r="C11" s="40" t="s">
        <v>115</v>
      </c>
      <c r="D11" s="41">
        <v>1</v>
      </c>
      <c r="E11" s="40">
        <v>0</v>
      </c>
      <c r="F11" s="40">
        <v>0</v>
      </c>
      <c r="G11" s="40">
        <v>1</v>
      </c>
      <c r="H11" s="40">
        <v>0</v>
      </c>
      <c r="I11" s="40">
        <v>0</v>
      </c>
      <c r="J11" s="40">
        <v>0</v>
      </c>
      <c r="K11" s="47" t="s">
        <v>150</v>
      </c>
      <c r="L11" s="40" t="s">
        <v>121</v>
      </c>
      <c r="M11" s="44">
        <v>1</v>
      </c>
      <c r="N11" s="43" t="s">
        <v>154</v>
      </c>
      <c r="O11" s="43">
        <v>40.6</v>
      </c>
      <c r="P11" s="43">
        <v>12.6</v>
      </c>
      <c r="Q11" s="45" t="s">
        <v>151</v>
      </c>
      <c r="R11" s="46">
        <v>15.153537639041801</v>
      </c>
      <c r="S11" s="39">
        <v>1</v>
      </c>
      <c r="T11" s="39"/>
      <c r="U11" s="39">
        <v>1</v>
      </c>
    </row>
    <row r="12" spans="1:21" ht="16" x14ac:dyDescent="0.3">
      <c r="A12">
        <v>328</v>
      </c>
      <c r="B12" s="40" t="s">
        <v>23</v>
      </c>
      <c r="C12" s="40" t="s">
        <v>167</v>
      </c>
      <c r="D12" s="41">
        <v>0</v>
      </c>
      <c r="E12" s="40">
        <v>1</v>
      </c>
      <c r="F12" s="40">
        <v>0</v>
      </c>
      <c r="G12" s="40">
        <v>0</v>
      </c>
      <c r="H12" s="40">
        <v>1</v>
      </c>
      <c r="I12" s="40">
        <v>0</v>
      </c>
      <c r="J12" s="40">
        <v>1</v>
      </c>
      <c r="K12" s="47" t="s">
        <v>150</v>
      </c>
      <c r="L12" s="40" t="s">
        <v>144</v>
      </c>
      <c r="M12" s="44"/>
      <c r="N12" s="43" t="s">
        <v>131</v>
      </c>
      <c r="O12" s="43">
        <v>1.7</v>
      </c>
      <c r="P12" s="43">
        <v>27.6</v>
      </c>
      <c r="Q12" s="45" t="s">
        <v>151</v>
      </c>
      <c r="R12" s="46">
        <v>39.200247940311606</v>
      </c>
      <c r="S12" s="39">
        <v>1</v>
      </c>
      <c r="T12" s="39">
        <v>1</v>
      </c>
      <c r="U12" s="39">
        <v>1</v>
      </c>
    </row>
    <row r="13" spans="1:21" x14ac:dyDescent="0.25">
      <c r="A13">
        <v>614</v>
      </c>
      <c r="B13" t="s">
        <v>200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</row>
    <row r="14" spans="1:21" x14ac:dyDescent="0.25">
      <c r="A14">
        <v>582</v>
      </c>
      <c r="B14" t="s">
        <v>201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case-studies</vt:lpstr>
    </vt:vector>
  </TitlesOfParts>
  <Company>IMF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ORTIZ, GABRIEL ANDRES</dc:creator>
  <cp:lastModifiedBy>SOTO ORTIZ, GABRIEL ANDRES</cp:lastModifiedBy>
  <dcterms:created xsi:type="dcterms:W3CDTF">2026-03-02T17:49:56Z</dcterms:created>
  <dcterms:modified xsi:type="dcterms:W3CDTF">2026-03-20T19:57:20Z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2026-03-02T19:42:10Z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f2f89350-0f92-47ee-8560-c1e9bf5ab373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</Properties>
</file>